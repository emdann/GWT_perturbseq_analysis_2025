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9_{5B6A5610-6472-5942-9D2B-909A11A67CFA}" xr6:coauthVersionLast="47" xr6:coauthVersionMax="47" xr10:uidLastSave="{00000000-0000-0000-0000-000000000000}"/>
  <bookViews>
    <workbookView xWindow="30240" yWindow="500" windowWidth="38400" windowHeight="21100" xr2:uid="{D9C0ED0D-A601-514D-AA20-C2F4C6273DDD}"/>
  </bookViews>
  <sheets>
    <sheet name="clustering_nde30ntotal75_downst" sheetId="1" r:id="rId1"/>
  </sheets>
  <calcPr calcId="0"/>
</workbook>
</file>

<file path=xl/sharedStrings.xml><?xml version="1.0" encoding="utf-8"?>
<sst xmlns="http://schemas.openxmlformats.org/spreadsheetml/2006/main" count="567" uniqueCount="531">
  <si>
    <t>cluster</t>
  </si>
  <si>
    <t>complex_corum</t>
  </si>
  <si>
    <t>overlap_genes_corum</t>
  </si>
  <si>
    <t>overlap_fraction_corum</t>
  </si>
  <si>
    <t>raw_p_value_corum</t>
  </si>
  <si>
    <t>complex_size_corum</t>
  </si>
  <si>
    <t>overlap_size_corum</t>
  </si>
  <si>
    <t>cluster_size_corum</t>
  </si>
  <si>
    <t>complex_stringdb</t>
  </si>
  <si>
    <t>overlap_genes_stringdb</t>
  </si>
  <si>
    <t>overlap_fraction_stringdb</t>
  </si>
  <si>
    <t>raw_p_value_stringdb</t>
  </si>
  <si>
    <t>complex_size_stringdb</t>
  </si>
  <si>
    <t>overlap_size_stringdb</t>
  </si>
  <si>
    <t>cluster_size_stringdb</t>
  </si>
  <si>
    <t>best_described_by</t>
  </si>
  <si>
    <t>complex_kegg</t>
  </si>
  <si>
    <t>overlap_genes_kegg</t>
  </si>
  <si>
    <t>overlap_fraction_kegg</t>
  </si>
  <si>
    <t>raw_p_value_kegg</t>
  </si>
  <si>
    <t>complex_size_kegg</t>
  </si>
  <si>
    <t>overlap_size_kegg</t>
  </si>
  <si>
    <t>cluster_size_kegg</t>
  </si>
  <si>
    <t>complex_reactome</t>
  </si>
  <si>
    <t>overlap_genes_reactome</t>
  </si>
  <si>
    <t>overlap_fraction_reactome</t>
  </si>
  <si>
    <t>raw_p_value_reactome</t>
  </si>
  <si>
    <t>complex_size_reactome</t>
  </si>
  <si>
    <t>overlap_size_reactome</t>
  </si>
  <si>
    <t>cluster_size_reactome</t>
  </si>
  <si>
    <t>complex_zhang</t>
  </si>
  <si>
    <t>overlap_genes_zhang</t>
  </si>
  <si>
    <t>overlap_fraction_zhang</t>
  </si>
  <si>
    <t>raw_p_value_zhang</t>
  </si>
  <si>
    <t>complex_size_zhang</t>
  </si>
  <si>
    <t>overlap_size_zhang</t>
  </si>
  <si>
    <t>cluster_size_zhang</t>
  </si>
  <si>
    <t>intracluster_corr</t>
  </si>
  <si>
    <t>cluster_gene_size</t>
  </si>
  <si>
    <t>cluster_member</t>
  </si>
  <si>
    <t>related_cluster</t>
  </si>
  <si>
    <t>DHCR24-DHCR7 complex</t>
  </si>
  <si>
    <t>['DHCR7', 'DHCR24']</t>
  </si>
  <si>
    <t>CL:9563</t>
  </si>
  <si>
    <t>['MSMO1', 'EBP', 'FDFT1', 'MVK', 'FDPS', 'IDI1', 'DHCR24', 'ERG28', 'SC5D', 'LSS', 'NSDHL', 'MVD', 'DHCR7', 'CYP51A1', 'SQLE']</t>
  </si>
  <si>
    <t>Cholesterol biosynthesis</t>
  </si>
  <si>
    <t>KEGG_STEROID_BIOSYNTHESIS</t>
  </si>
  <si>
    <t>['EBP', 'FDFT1', 'DHCR24', 'SQLE', 'NSDHL', 'LSS', 'SC5D', 'DHCR7', 'CYP51A1', 'MSMO1']</t>
  </si>
  <si>
    <t>REACTOME_CHOLESTEROL_BIOSYNTHESIS</t>
  </si>
  <si>
    <t>['ACAT2', 'EBP', 'SC5D', 'FDFT1', 'DHCR24', 'SQLE', 'MVK', 'FDPS', 'IDI1', 'SREBF2', 'LSS', 'SREBF1', 'MSMO1', 'HMGCS1', 'HMGCR', 'NSDHL', 'MVD', 'DHCR7', 'CYP51A1']</t>
  </si>
  <si>
    <t>complex 5158</t>
  </si>
  <si>
    <t>['INSIG1', 'HMGCR', 'SREBF2']</t>
  </si>
  <si>
    <t>['CYP51A1', 'CLCN6', 'MSMO1', 'IDI1', 'RDH11', 'SREBF1', 'FDFT1', 'SCD', 'SLC25A1', 'SQLE', 'SC5D', 'MVK', 'HMGCS1', 'HMGCR', 'DHCR24', 'PANK3', 'ACAT2', 'ACSL3', 'LDLR', 'ERG28', 'FADS2', 'MMAB', 'EBP', 'NSDHL', 'FADS1', 'DBI', 'LSS', 'FDPS', 'MVD', 'DHCR7', 'PCYT2', 'INSIG1', 'SREBF2']</t>
  </si>
  <si>
    <t>CL:8578</t>
  </si>
  <si>
    <t>['PFKFB4', 'ENO2']</t>
  </si>
  <si>
    <t>Glycolysis, and Sugar-phosphatase activity</t>
  </si>
  <si>
    <t>KEGG_REGULATION_OF_ACTIN_CYTOSKELETON</t>
  </si>
  <si>
    <t>['CRKL', 'FGF11']</t>
  </si>
  <si>
    <t>REACTOME_GLUCOSE_METABOLISM</t>
  </si>
  <si>
    <t>['ALKBH5', 'UPRT', 'CRKL', 'DDX50', 'ENO2', 'FAM162A', 'PFKFB4', 'P4HA1', 'INSIG2', 'HILPDA', 'WDR45B', 'IPMK', 'PDK1', 'FGF11', 'AK4', 'YEATS2', 'RNF187', 'FUT11', 'NCKIPSD']</t>
  </si>
  <si>
    <t>CCT complex (chaperonin containing TCP1 complex)</t>
  </si>
  <si>
    <t>['CCT2', 'CCT3']</t>
  </si>
  <si>
    <t>CL:907</t>
  </si>
  <si>
    <t>['NOP14', 'FBL', 'WDR36', 'WDR3', 'RRP15', 'DDX49', 'RRP1']</t>
  </si>
  <si>
    <t>Preribosome, and Ribosome biogenesis</t>
  </si>
  <si>
    <t>REACTOME_RRNA_MODIFICATION_IN_THE_NUCLEUS_AND_CYTOSOL</t>
  </si>
  <si>
    <t>['NOP14', 'FBL', 'WDR36', 'WDR3', 'DDX49']</t>
  </si>
  <si>
    <t>complex 13</t>
  </si>
  <si>
    <t>['WDR36', 'NOP14', 'WDR3']</t>
  </si>
  <si>
    <t>['DNAJC11', 'WDR3', 'RRP15', 'AK6', 'NOP14', 'DNAJA3', 'FBL', 'TNPO2', 'DDX49', 'PRPF19', 'RPP40', 'EIF2S1', 'WDR36', 'RRP1', 'CCT3', 'CHCHD4', 'POLR2H', 'CCT2', 'FARSA', 'LONP1']</t>
  </si>
  <si>
    <t>CL:35844</t>
  </si>
  <si>
    <t>['ZIK1', 'ZNF345', 'ZNF566', 'ZNF253', 'ZNF8', 'ZNF559', 'ZFP14', 'ZNF790', 'ZNF14', 'ZNF677', 'ZNF562', 'ZNF254', 'ZNF140', 'ZNF585A', 'ZNF605', 'ZNF808', 'ZNF441', 'ZNF44', 'ZNF850', 'ZNF544', 'ZNF682', 'ZNF600', 'ZNF260', 'ZNF568', 'ZNF329', 'ZNF426', 'ZNF85', 'ZNF680', 'ZNF107', 'ZNF383', 'ZNF268', 'ZFP82', 'ZNF432', 'ZNF470', 'ZNF283', 'ZNF382', 'ZNF256', 'ZNF549', 'ZNF548', 'ZNF585B', 'ZNF550', 'ZNF493', 'ZNF561', 'ZFP30', 'ZNF350', 'ZNF84']</t>
  </si>
  <si>
    <t>KRAB domain superfamily, and TFIIS helical bundle-like domain</t>
  </si>
  <si>
    <t>REACTOME_RNA_POLYMERASE_II_TRANSCRIPTION</t>
  </si>
  <si>
    <t>['ZNF583', 'ZFP90', 'ZIK1', 'ZNF566', 'ZNF595', 'ZNF160', 'ZNF253', 'ZNF559', 'ZFP14', 'ZNF790', 'ZNF626', 'ZNF71', 'ZNF266', 'ZNF14', 'ZNF677', 'ZNF562', 'ZNF254', 'ZNF140', 'ZNF700', 'ZNF331', 'ZNF585A', 'ZNF567', 'ZNF605', 'ZNF274', 'ZNF671', 'ZNF441', 'ZNF354A', 'ZNF200', 'ZNF354C', 'ZNF544', 'ZNF573', 'ZNF682', 'ZNF600', 'ZNF101', 'ZNF568', 'ZNF75A', 'ZNF486', 'ZNF426', 'ZNF606', 'ZNF681', 'ZNF680', 'ZNF383', 'ZNF268', 'ZNF470', 'ZNF432', 'ZNF585B', 'ZNF256', 'ZNF382', 'ZNF480', 'ZNF549', 'ZNF548', 'ZNF550', 'ZNF625', 'TAF7', 'ZNF264', 'ZNF493', 'ZNF561', 'ZFP30', 'ZNF350', 'ZNF736']</t>
  </si>
  <si>
    <t>complex 87</t>
  </si>
  <si>
    <t>['ZNF567', 'ZFP90', 'ZNF550', 'ZNF671', 'ZNF75A', 'ZNF350', 'ZNF383', 'ZNF354C']</t>
  </si>
  <si>
    <t>['ZNF200', 'ZNF671', 'ZNF264', 'ZNF268', 'ZNF14', 'ZNF85', 'ZFP30', 'ZNF549', 'LRIF1', 'ZNF426', 'ZNF331', 'TIGD7', 'ZFP14', 'ZNF256', 'ZNF382', 'ZNF75A', 'EXO5', 'ZNF606', 'ZNF283', 'ZNF83', 'ZNF354A', 'ZNF32', 'ZNF160', 'ZNF562', 'ZNF561', 'ZNF274', 'ZIK1', 'ZNF680', 'ZNF266', 'ZNF354C', 'TAF7', 'ZFP3', 'ZFP82', 'ZNF329', 'ZNF101', 'ZFP90', 'ZNF566', 'ZNF626', 'ZNF383', 'ZNF559', 'ZNF548', 'ZNF567', 'ZNF573', 'ZNF600', 'ZNF681', 'ZNF107', 'ZNF493', 'ZNF140', 'ZNF605', 'ZNF700', 'ZNF585A', 'ZNF470', 'ZNF441', 'ZNF682', 'ZNF841', 'ZNF44', 'ZNF790', 'ZNF677', 'ZNF71', 'ZNF84', 'ZNF544', 'ZNF813', 'ZNF583', 'ZNF568', 'ZNF480', 'ZNF808', 'ZNF254', 'ZNF134', 'ZNF90', 'ZNF891', 'ZNF880', 'ZNF736', 'ZNF585B', 'ZNF345', 'ZNF550', 'ZNF260', 'ZNF432', 'ZNF486', 'ZNF350', 'ZNF253', 'ZNF625', 'ZNF850', 'ZNF595', 'ZNF8']</t>
  </si>
  <si>
    <t>Multisynthetase complex</t>
  </si>
  <si>
    <t>['EPRS1', 'LARS1', 'MARS1', 'IARS1']</t>
  </si>
  <si>
    <t>CL:18527</t>
  </si>
  <si>
    <t>['TRIB3', 'CEBPB', 'ATF4', 'ATF3', 'DDIT3', 'CHAC1']</t>
  </si>
  <si>
    <t>Response of EIF2AK1 (HRI) to heme deficiency</t>
  </si>
  <si>
    <t>KEGG_AMINOACYL_TRNA_BIOSYNTHESIS</t>
  </si>
  <si>
    <t>['EPRS1', 'NARS1', 'LARS1', 'GARS1', 'WARS1', 'MARS1', 'AARS1', 'YARS1', 'IARS1']</t>
  </si>
  <si>
    <t>REACTOME_RESPONSE_OF_EIF2AK1_HRI_TO_HEME_DEFICIENCY</t>
  </si>
  <si>
    <t>['TRIB3', 'GRB10', 'EIF2S2', 'CEBPG', 'CEBPB', 'ATF4', 'ATF3', 'DDIT3', 'CHAC1']</t>
  </si>
  <si>
    <t>complex 8911</t>
  </si>
  <si>
    <t>['CEBPG', 'CEBPB', 'ATF4', 'ATF3', 'DDIT3']</t>
  </si>
  <si>
    <t>['RFC1', 'MTHFD2', 'KDM4A', 'TUBE1', 'CST7', 'NFE2L1', 'AARS1', 'PHGDH', 'PCK2', 'PYGB', 'TRIB3', 'SLC7A5', 'SLC1A5', 'GRB10', 'GARS1', 'BUD31', 'DNAJC12', 'VEGFA', 'STC2', 'CTH', 'GOT1', 'MTHFD1L', 'PROSER1', 'XPO5', 'EIF2S2', 'ATF4', 'MYO1B', 'CHAC1', 'ASS1', 'SESN2', 'LARS1', 'SLC38A2', 'NARS1', 'YARS1', 'PSAT1', 'SERPINE2', 'TM6SF1', 'EPRS1', 'RSL24D1', 'SLC7A1', 'WARS1', 'ARSG', 'PMAIP1', 'HAX1', 'GALM', 'SETD7', 'PSPH', 'VLDLR', 'SLC43A1', 'SLC7A11', 'TMEM267', 'CEBPG', 'RAB39B', 'PPP1R15B', 'MED8', 'CBS', 'ATF3', 'COG5', 'GHITM', 'GPT2', 'MARS1', 'ANKRD11', 'SLC3A2', 'DDIT4', 'PXK', 'LRATD2', 'CLIC4', 'PLRG1', 'CEBPB', 'EIF1', 'DDIT3', 'SHMT2', 'SPNS3', 'HAPSTR1', 'PYCR1', 'XPOT', 'EIF4EBP1', 'IARS1', 'SIAH1', 'SLC6A9', 'TSEN15']</t>
  </si>
  <si>
    <t>SELK multiprotein complex</t>
  </si>
  <si>
    <t>['SELENOS', 'DERL1', 'DERL2', 'CANX', 'RPN1', 'DDOST', 'STT3A', 'SELENOK']</t>
  </si>
  <si>
    <t>CL:1540</t>
  </si>
  <si>
    <t>['SRPRA', 'SSR2', 'ERP44', 'HSP90B1', 'PDIA6', 'TXNDC5', 'SSR4', 'SDF2L1', 'SEC63', 'HSPA5', 'PDIA5', 'EDEM3', 'SRP54', 'SEC61B', 'RRBP1', 'CRELD2', 'MAGT1', 'OSTC', 'DNAJB9', 'HERPUD1', 'DNAJC3', 'SRPRB', 'TXNDC11', 'STT3A', 'SPCS3', 'EDEM1', 'SEC11C', 'EDEM2', 'HYOU1', 'TRAM1', 'CANX', 'PDIA4', 'SEC61A1', 'DDOST', 'MLEC', 'SEC61G', 'SSR3', 'RPN1', 'XBP1', 'EIF2AK3', 'STT3B', 'TMEM258', 'SELENOF', 'MANF', 'SPCS2', 'DNAJB11', 'SIL1', 'SSR1', 'UGGT1']</t>
  </si>
  <si>
    <t>mixed, incl. Protein targeting to ER, and Oligosaccharyltransferase complex</t>
  </si>
  <si>
    <t>KEGG_PROTEIN_EXPORT</t>
  </si>
  <si>
    <t>['SEC11C', 'SRPRA', 'SRP54', 'SEC61B', 'SEC61A1', 'SPCS2', 'SRPRB', 'SEC63', 'SEC61G', 'SPCS3', 'HSPA5']</t>
  </si>
  <si>
    <t>REACTOME_ASPARAGINE_N_LINKED_GLYCOSYLATION</t>
  </si>
  <si>
    <t>['ARF4', 'GMPPB', 'GMPPA', 'PDIA3', 'SEC24A', 'RAB1A', 'ARF1', 'MGAT2', 'TMED2', 'SEC24D', 'TMED3', 'KDELR1', 'MIA3', 'TMED7', 'KDELR2', 'EDEM3', 'GFPT1', 'COPG1', 'DERL2', 'UAP1', 'PREB', 'COPB2', 'MAGT1', 'OSTC', 'COPB1', 'ALG5', 'SEC24C', 'SYVN1', 'SEC13', 'COPZ1', 'STT3A', 'SEL1L', 'COPE', 'STX5', 'TMED9', 'EDEM1', 'EDEM2', 'SEC31A', 'BET1L', 'CANX', 'USO1', 'ARCN1', 'DDOST', 'MLEC', 'LMAN1', 'COPA', 'GOLGA2', 'RPN1', 'STT3B', 'NANS', 'TMEM258', 'ARFGAP3', 'SCFD1', 'SEC22B', 'TFG', 'LMAN2', 'ALG2', 'TMED10', 'DERL1', 'CALR', 'UGGT1']</t>
  </si>
  <si>
    <t>complex 8721</t>
  </si>
  <si>
    <t>['DDOST', 'STT3B', 'TMEM258', 'CANX', 'MLEC', 'SEC61G', 'STT3A', 'RPN1']</t>
  </si>
  <si>
    <t>['IBTK', 'DYRK4', 'RWDD2A', 'ERP44', 'SEC63', 'HSPA5', 'HERPUD1', 'SEC61A1', 'PDIA5', 'GOLGA5', 'TRAM1', 'ERLEC1', 'SEL1L', 'DERL2', 'LMAN1', 'MYDGF', 'TM9SF3', 'TMED2', 'EDEM2', 'DNAJB11', 'GOLGA3', 'SCFD1', 'ARCN1', 'NANS', 'KCNK6', 'XBP1', 'SRP54', 'HM13', 'SEC23B', 'MAGT1', 'ARMCX3', 'FNDC3A', 'DNAJC3', 'RAB2A', 'KDELR1', 'COPE', 'FKBP14', 'TBL2', 'SEC61B', 'CREB3', 'UGDH', 'OSBP', 'MLEC', 'COPZ1', 'GOLT1B', 'SLC39A7', 'DAP', 'SEC24A', 'TXNDC15', 'SELENOK', 'TFG', 'SSR3', 'HDLBP', 'GORASP2', 'EDEM3', 'UAP1', 'TMED5', 'MESD', 'SPCS2', 'ALG2', 'RHOQ', 'TMEM214', 'SLC10A7', 'UFM1', 'ALG5', 'SIL1', 'SERP1', 'ARL1', 'SLC35B1', 'COPA', 'MORF4L2', 'CHPF', 'MCEE', 'SSR1', 'RRBP1', 'CANX', 'SDF2L1', 'DNAJB9', 'CALU', 'ORMDL1', 'COPB1', 'SPCS3', 'YIPF2', 'SELENOS', 'SEC61G', 'HSD17B4', 'EDEM1', 'FKBP11', 'TMEM258', 'STT3A', 'TMED7', 'KDELR2', 'UGGT1', 'DERL1', 'RAB1A', 'PREB', 'SEC31A', 'LARP1B', 'USO1', 'TMCO1', 'GOLPH3L', 'ARF1', 'PDIA6', 'GMPPA', 'SRPRB', 'MANF', 'CISD2', 'YIPF5', 'PLPP5', 'MTDH', 'SURF4', 'HYOU1', 'SEC24D', 'TMEM263', 'TXNDC11', 'MIA3', 'HSPA13', 'PDIA4', 'GALK2', 'SEC13', 'SLC38A10', 'STX5', 'SYVN1', 'SLC30A7', 'SSR2', 'AZI2', 'STT3B', 'RPN1', 'PRRC1', 'TMED3', 'SEC11C', 'NDEL1', 'HSP90B1', 'PPIB', 'PDIA3', 'GOLGA2', 'YIF1B', 'CDK2AP2', 'MGAT2', 'ARF4', 'TMEM208', 'LMAN2', 'SLC33A1', 'TMED10', 'NFXL1', 'MZB1', 'EIF2AK3', 'GMPPB', 'LYSMD3', 'TMEM39A', 'SEC24C', 'BET1L', 'CALR', 'SSR4', 'COPG1', 'CREB3L2', 'ACBD3', 'SRPRA', 'SELENOF', 'CRELD2', 'COPB2', 'BEX5', 'TMED9', 'SND1', 'AKAP17A', 'ENTPD7', 'GFPT1', 'UBE2J1', 'FICD', 'OSTC', 'TXNDC5', 'CDRT4', 'ARFGAP3', 'DDOST', 'SEC22B', 'CCDC163']</t>
  </si>
  <si>
    <t>BAX-BCL2L11-PACS2-TNFRSF10B-TNFSF10 complex</t>
  </si>
  <si>
    <t>['BAX', 'TNFRSF10B']</t>
  </si>
  <si>
    <t>CL:30738</t>
  </si>
  <si>
    <t>['AEN', 'PHLDA3', 'ZMAT3', 'TP53I3']</t>
  </si>
  <si>
    <t>mixed, incl. PHLDA family, and NADPH:quinone reductase activity</t>
  </si>
  <si>
    <t>KEGG_P53_SIGNALING_PATHWAY</t>
  </si>
  <si>
    <t>['TP53I3', 'RRM2B', 'FAS', 'SESN1', 'BAX', 'TNFRSF10B', 'CCNG1', 'GADD45A', 'MDM2', 'DDB2', 'ZMAT3', 'CDKN1A', 'BBC3']</t>
  </si>
  <si>
    <t>REACTOME_TRANSCRIPTIONAL_REGULATION_BY_TP53</t>
  </si>
  <si>
    <t>['TP53I3', 'PLK2', 'FAS', 'RRM2B', 'BAX', 'SESN1', 'CCNG1', 'GADD45A', 'MDM2', 'TIGAR', 'TNFRSF10B', 'PRKAB1', 'DDB2', 'CDKN1A', 'BBC3']</t>
  </si>
  <si>
    <t>complex 4358</t>
  </si>
  <si>
    <t>['DDB2', 'PHPT1']</t>
  </si>
  <si>
    <t>['FAS', 'RRM2B', 'PHPT1', 'TM7SF3', 'TIGAR', 'SESN1', 'BAX', 'APOBEC3H', 'SLC7A6', 'BBC3', 'ACTA2', 'PRKAB1', 'CCNG1', 'TP53I3', 'GADD45A', 'TNFSF4', 'TNFRSF10B', 'CDKN1A', 'TNFSF9', 'CD70', 'TRIM22', 'MYH10', 'DDB2', 'MDM2', 'DRAM1', 'CCDC90B', 'AEBP2', 'PLK2', 'DCP1B', 'FDXR', 'IER5', 'FBXO22', 'TMEM68', 'ZMAT3', 'PHLDA3', 'AEN', 'RFX7', 'BLOC1S2', 'PLXNB2', 'APOBEC3C']</t>
  </si>
  <si>
    <t>eIF3 complex (EIF3S6, EIF3S5, EIF3S4, EIF3S3, EIF3S6IP, EIF3S2, EIF3S9, EIF3S12,  EIF3S10, EIF3S8,  EIF3S1, EIF3S7)</t>
  </si>
  <si>
    <t>['EIF3F', 'EIF3H', 'EIF3K', 'EIF3L', 'EIF3D']</t>
  </si>
  <si>
    <t>CL:452</t>
  </si>
  <si>
    <t>['EIF3F', 'EIF2S3', 'EIF3H', 'EIF4B', 'EIF2A', 'EIF3K', 'EIF3L', 'EIF3D']</t>
  </si>
  <si>
    <t>Initiation factor</t>
  </si>
  <si>
    <t>KEGG_CARDIAC_MUSCLE_CONTRACTION</t>
  </si>
  <si>
    <t>['COX7C', 'COX7A2L', 'COX4I1', 'UQCRB']</t>
  </si>
  <si>
    <t>REACTOME_ACTIVATION_OF_THE_MRNA_UPON_BINDING_OF_THE_CAP_BINDING_COMPLEX_AND_EIFS_AND_SUBSEQUENT_BINDING_TO_43S</t>
  </si>
  <si>
    <t>['EIF3F', 'EIF2S3', 'EIF3H', 'EIF4B', 'EIF3K', 'EIF3L', 'EIF3D']</t>
  </si>
  <si>
    <t>complex 2246</t>
  </si>
  <si>
    <t>['EIF3F', 'EIF3H', 'EIF3L', 'EIF3D']</t>
  </si>
  <si>
    <t>['LETMD1', 'EIF4B', 'NOA1', 'ERP29', 'EIF3L', 'EIF3D', 'ZFAND1', 'NOP53', 'EEF1B2', 'COX7A2L', 'CD48', 'DPH5', 'SYF2', 'ERGIC3', 'COX7C', 'EIF2S3', 'COX4I1', 'EIF2A', 'HIGD2A', 'EIF3H', 'OXA1L', 'UQCRB', 'UBXN1', 'NSA2', 'CAMLG', 'EEF2', 'ZNF581', 'QARS1', 'TOMM20', 'EIF3F', 'EIF3K', 'POLR1D', 'TOMM7', 'ZNF277', 'UBA52', 'EEF1G']</t>
  </si>
  <si>
    <t>CL:15533</t>
  </si>
  <si>
    <t>['OSM', 'IL17RB', 'LIF', 'CXCL8', 'ICOS', 'IL4', 'CTLA4', 'IL13', 'IL5', 'IL2RA']</t>
  </si>
  <si>
    <t>Cytokine-cytokine receptor interaction, and Adaptive immunity</t>
  </si>
  <si>
    <t>KEGG_CYTOKINE_CYTOKINE_RECEPTOR_INTERACTION</t>
  </si>
  <si>
    <t>['OSM', 'IL17RB', 'LIF', 'CXCL8', 'IL4', 'IL13', 'IL5', 'IL2RA']</t>
  </si>
  <si>
    <t>REACTOME_INTERLEUKIN_4_AND_INTERLEUKIN_13_SIGNALING</t>
  </si>
  <si>
    <t>['OSM', 'LIF', 'CXCL8', 'IL4', 'IL13']</t>
  </si>
  <si>
    <t>complex 6382</t>
  </si>
  <si>
    <t>['IL2RA', 'IL5']</t>
  </si>
  <si>
    <t>['PHTF2', 'CHDH', 'IL17RB', 'OSM', 'LGMN', 'IL4', 'IL5', 'SGK1', 'LIF', 'IL2RA', 'CEMIP2', 'OSBPL10', 'ANKH', 'CTLA4', 'ICOS', 'IL13', 'CXCL8', 'KLHL11', 'TMEM273']</t>
  </si>
  <si>
    <t>CL:28110</t>
  </si>
  <si>
    <t>['SPHK1', 'CHST10']</t>
  </si>
  <si>
    <t>mixed, incl. Glycoprotein biosynthetic process, and Membrane lipid metabolic process</t>
  </si>
  <si>
    <t>KEGG_VEGF_SIGNALING_PATHWAY</t>
  </si>
  <si>
    <t>['MAPK12', 'SPHK1']</t>
  </si>
  <si>
    <t>REACTOME_SIGNALING_BY_VEGF</t>
  </si>
  <si>
    <t>['TRERF1', 'CTSW', 'MVB12B', 'USP13', 'NME4', 'CHST10', 'PRXL2A', 'GAMT', 'E2F5', 'ANKLE1', 'TERT', 'GLB1L3', 'MAPK12', 'KLHL23', 'HES6', 'GAREM2', 'SPHK1', 'RPP25', 'NRARP', 'FNDC10']</t>
  </si>
  <si>
    <t>RAB11A-RAB11FIP1-SLAMF1 complex</t>
  </si>
  <si>
    <t>['RAB11FIP1', 'SLAMF1']</t>
  </si>
  <si>
    <t>CL:15622</t>
  </si>
  <si>
    <t>['TNFSF14', 'CD276', 'PDCD1', 'TNFRSF9', 'CD40LG']</t>
  </si>
  <si>
    <t>TNFs bind their physiological receptors, and T cell modulation in pancreatic cancer</t>
  </si>
  <si>
    <t>KEGG_ALLOGRAFT_REJECTION</t>
  </si>
  <si>
    <t>['IFNG', 'FASLG', 'CD40LG', 'PRF1', 'GZMB']</t>
  </si>
  <si>
    <t>REACTOME_TNFS_BIND_THEIR_PHYSIOLOGICAL_RECEPTORS</t>
  </si>
  <si>
    <t>['TNFSF14', 'TNFRSF9', 'TNFRSF1A', 'EDARADD', 'FASLG']</t>
  </si>
  <si>
    <t>complex 13324</t>
  </si>
  <si>
    <t>['RHOB', 'TIAM2']</t>
  </si>
  <si>
    <t>['AGK', 'JARID2', 'CD9', 'FYN', 'AKAP11', 'VEZT', 'POU2F2', 'MAP2K3', 'RNF19A', 'ADSS2', 'CTNNA1', 'TNFRSF9', 'NFE2L3', 'ATP9A', 'TRAF1', 'TNFRSF1A', 'RAB27A', 'OSBPL3', 'EED', 'GRAMD4', 'CD82', 'B4GALT1', 'SMOX', 'LAG3', 'LTBP4', 'CD200', 'SUCO', 'SEC14L2', 'GZMB', 'RIN3', 'POFUT1', 'KIF3B', 'PPP1R16B', 'PHEX', 'CD40LG', 'RGCC', 'N4BP1', 'CD276', 'FZD3', 'KCNN4', 'DOT1L', 'CDK6', 'NAMPT', 'GSDME', 'ADAP1', 'TSPAN13', 'TESK1', 'VSIR', 'ARHGAP21', 'CCL1', 'MFSD10', 'CRTAM', 'POU2AF1', 'VDR', 'IFNG', 'NEDD9', 'CD83', 'BACH2', 'RASGRF2', 'FOXP1', 'ELAPOR1', 'ARHGEF2', 'CD2', 'SLAMF1', 'FASLG', 'FBXO30', 'TNFAIP3', 'KLF9', 'C1orf198', 'NR4A3', 'DNMT3A', 'DUSP4', 'RDH10', 'LAX1', 'SRGN', 'EGR2', 'AGO2', 'SDC4', 'LYPD3', 'MBOAT7', 'TNFSF14', 'TBC1D20', 'HIVEP3', 'SRD5A3', 'ADORA2A', 'SNX9', 'JUND', 'NFATC1', 'NDFIP1', 'CHSY1', 'KDM6B', 'DSTYK', 'TMCC2', 'MICAL2', 'PTPN22', 'EMP1', 'MDFIC', 'ACVR1B', 'AHI1', 'CPM', 'ARMC9', 'TBC1D4', 'IER3', 'ARL3', 'SHF', 'SEMA7A', 'RASGEF1B', 'RGS3', 'PHLDA1', 'RGS16', 'GALNT2', 'PTPN7', 'RHOB', 'CSRNP1', 'LRIG1', 'TNFAIP8', 'GFOD1', 'TIAM2', 'ZC3H12C', 'PRSS23', 'CRIM1', 'RILPL2', 'ITPR1', 'NR4A2', 'C16orf87', 'SLA', 'PHF6', 'CD109', 'RAB11FIP1', 'DGKI', 'DUSP2', 'RCAN1', 'PTMS', 'MPZL3', 'FMNL3', 'SLAMF6', 'MAPKAPK2', 'REL', 'SGPP2', 'SPRY1', 'STARD4', 'ACSL6', 'IL3', 'CSF2', 'KCNK5', 'ZNF704', 'TAGAP', 'OTUD1', 'HECTD2', 'INTS6L', 'ABTB2', 'SGPL1', 'BMERB1', 'NAB2', 'NFKBID', 'SLC43A2', 'RBPJ', 'GNG4', 'XIRP1', 'MFSD2A', 'ZEB2', 'NIPA1', 'GSTA4', 'CAVIN3', 'PKIA', 'TRIM8', 'BCL2L1', 'CXXC5', 'TRIB1', 'AGFG1', 'PLK3', 'B3GNT5', 'MTX3', 'TGIF1', 'ZBED2', 'JUN', 'PRF1', 'SIAH2', 'ADO', 'EIF4ENIF1', 'SHC4', 'ZFP36L1', 'EDARADD', 'PABIR1', 'PDCD1', 'AFAP1', 'FAM3C', 'IGF2R', 'LRRC8B', 'SFI1', 'PIM3', 'NTRK1', 'F5', 'LBH', 'PPP1CB', 'OTUD7B', 'CCL4', 'PRAG1', 'CCL4L2', 'CCL3']</t>
  </si>
  <si>
    <t>BBSome core complex</t>
  </si>
  <si>
    <t>['BBS2', 'BBS9']</t>
  </si>
  <si>
    <t>CL:28413</t>
  </si>
  <si>
    <t>['HGSNAT', 'IDUA']</t>
  </si>
  <si>
    <t>Mucopolysaccharidosis type IIIB</t>
  </si>
  <si>
    <t>KEGG_GLYCOSAMINOGLYCAN_DEGRADATION</t>
  </si>
  <si>
    <t>REACTOME_MUCOPOLYSACCHARIDOSES</t>
  </si>
  <si>
    <t>complex 12592</t>
  </si>
  <si>
    <t>['HGSNAT', 'MAN1B1']</t>
  </si>
  <si>
    <t>['TRAPPC6A', 'RNASET2', 'PCBP4', 'LZTS2', 'UNC93B1', 'SLC22A18', 'EXOC2', 'PKN1', 'BBS2', 'IDUA', 'FBXO44', 'BTBD2', 'MARCHF9', 'MAP3K12', 'SGSM2', 'TPGS1', 'ZMYM3', 'NMT2', 'ZYG11B', 'TRIM46', 'KIFC2', 'THBS3', 'VEGFB', 'RUFY1', 'MAN1B1', 'P4HTM', 'FUCA1', 'PACS2', 'R3HDM2', 'RINL', 'ARRDC1', 'PHF2', 'LDB1', 'NPEPL1', 'DENND11', 'PPP1R3F', 'SDCCAG8', 'KIF16B', 'BEX4', 'TSC22D1', 'ZDHHC2', 'ZNF862', 'LIPA', 'CAPRIN2', 'FAM172A', 'SCP2', 'CCDC92', 'ECHDC2', 'BBS9', 'FBXL17', 'ZNF362', 'OXR1', 'HGSNAT', 'ZMAT1', 'ACYP2', 'KRCC1', 'TCEAL8', 'IGIP', 'CCDC159', 'ZC3H6', 'BTBD8', 'LYRM9', 'CTSO']</t>
  </si>
  <si>
    <t>CL:31959</t>
  </si>
  <si>
    <t>['BTN3A2', 'BTN3A3', 'BTN3A1']</t>
  </si>
  <si>
    <t>Butyrophilin (BTN) family interactions, and Blepharitis</t>
  </si>
  <si>
    <t>REACTOME_BUTYROPHILIN_BTN_FAMILY_INTERACTIONS</t>
  </si>
  <si>
    <t>complex 332</t>
  </si>
  <si>
    <t>['BTN3A1', 'GSDMB', 'BTN3A3', 'ORMDL3', 'PARP15', 'DRAP1', 'ANXA2R', 'UBA7', 'BTN3A2', 'PDCD1LG2']</t>
  </si>
  <si>
    <t>DTX3L-PARP9-STAT1 complex</t>
  </si>
  <si>
    <t>['PARP9', 'DTX3L', 'STAT1']</t>
  </si>
  <si>
    <t>CL:17001</t>
  </si>
  <si>
    <t>['IFI27', 'PARP12', 'UBE2L6', 'GBP4', 'IFIT3', 'SAMD9', 'DDX60', 'ZC3HAV1', 'ISG15', 'SAMD9L', 'OAS1', 'OASL', 'RSAD2', 'IFI44', 'GBP5', 'DDX60L', 'GBP1', 'HELZ2', 'OAS2', 'HERC6', 'PARP14', 'IFI6', 'XAF1', 'PARP9', 'IFIT5', 'OAS3', 'RTP4', 'IFIT1', 'MX1', 'MX2', 'IFI44L', 'DTX3L', 'HERC5', 'ISG20', 'EPSTI1']</t>
  </si>
  <si>
    <t>mixed, incl. Interferon alpha/beta signaling, and Guanylate-binding protein, C-terminal</t>
  </si>
  <si>
    <t>KEGG_PROTEASOME</t>
  </si>
  <si>
    <t>['PSME2', 'PSME1', 'PSMB9', 'PSMB8', 'PSMB10']</t>
  </si>
  <si>
    <t>REACTOME_INTERFERON_ALPHA_BETA_SIGNALING</t>
  </si>
  <si>
    <t>['IFI27', 'IFIT3', 'ADAR', 'ISG15', 'IFI35', 'OAS1', 'OASL', 'RSAD2', 'EIF2AK2', 'IRF9', 'OAS2', 'IFI6', 'STAT1', 'XAF1', 'IFIT5', 'OAS3', 'IRF1', 'USP18', 'IFIT1', 'MX1', 'MX2', 'STAT2', 'PSMB8', 'IRF7', 'ISG20']</t>
  </si>
  <si>
    <t>complex 12672</t>
  </si>
  <si>
    <t>['IRF9', 'STAT2', 'USP18']</t>
  </si>
  <si>
    <t>['LAP3', 'MVP', 'NUB1', 'TYMP', 'EIF2AK2', 'PARP12', 'TBC1D1', 'SP100', 'IFI35', 'LAMP3', 'WDFY1', 'OAS1', 'PSME1', 'JAK2', 'APOL1', 'PSME2', 'TNFSF13B', 'ZC3HAV1', 'RIGI', 'LGALS3BP', 'DHX58', 'OAS3', 'OAS2', 'XRN1', 'IFIH1', 'STAT1', 'FBXO6', 'GBP1', 'IFIT3', 'NMI', 'IRF1', 'IFI6', 'APOL3', 'APOL2', 'KLHDC7B', 'HELZ2', 'TRIM21', 'XAF1', 'EPSTI1', 'PLAAT4', 'RSAD2', 'CMPK2', 'OASL', 'TRAFD1', 'PHF11', 'RTP4', 'CMTR1', 'DDX60', 'IFI44L', 'IFI44', 'PARP9', 'HERC6', 'HERC5', 'HAPLN3', 'NLRC5', 'TMEM140', 'IFIT5', 'GBP5', 'UBE2L6', 'MX1', 'ADAR', 'LY6E', 'GBP4', 'CTSS', 'DTX3L', 'ERAP1', 'ERAP2', 'IFI27', 'SLFN5', 'TRANK1', 'TAP1', 'LGALS9', 'STAT2', 'ISG20', 'PARP14', 'SAMD9L', 'ODF3B', 'PARP10', 'DDX60L', 'MX2', 'USP18', 'IRF7', 'IFIT1', 'ISG15', 'PLSCR1', 'CASP4', 'PSMB8', 'TAP2', 'PSMB10', 'SAMD9', 'IRF9', 'IFI30', 'APOL6', 'TAPBP', 'PSMB9']</t>
  </si>
  <si>
    <t>CL:20200</t>
  </si>
  <si>
    <t>['TSPAN15', 'TSPAN18']</t>
  </si>
  <si>
    <t>Tetraspanin-enriched microdomain</t>
  </si>
  <si>
    <t>KEGG_HEMATOPOIETIC_CELL_LINEAGE</t>
  </si>
  <si>
    <t>['IL7R', 'ITGA6', 'ITGAM', 'ITGA5']</t>
  </si>
  <si>
    <t>REACTOME_FIBRONECTIN_MATRIX_FORMATION</t>
  </si>
  <si>
    <t>['CEACAM1', 'ITGA5']</t>
  </si>
  <si>
    <t>complex 4681</t>
  </si>
  <si>
    <t>['AGPAT4', 'SBK1']</t>
  </si>
  <si>
    <t>['AGPAT4', 'VCL', 'LIMS2', 'CEACAM1', 'DLGAP4', 'ITGA6', 'TSPAN15', 'KLF8', 'STIM2', 'KLF3', 'SPTBN1', 'RAP2A', 'PLEKHG3', 'FAM13A', 'TOB1', 'NOSIP', 'EXOC6B', 'HKDC1', 'TSPAN18', 'ITGA5', 'TRAT1', 'TLR3', 'SAMD3', 'PDP1', 'AQP3', 'DACT1', 'IL7R', 'ITGAM', 'MLLT3', 'SLCO3A1', 'UPP1', 'NDUFA12', 'PLSCR3', 'UBQLN2', 'SBK1', 'GABBR1', 'PLXNA4']</t>
  </si>
  <si>
    <t>Spliceosome, E complex</t>
  </si>
  <si>
    <t>['LUC7L3', 'SRSF5']</t>
  </si>
  <si>
    <t>CL:37668</t>
  </si>
  <si>
    <t>['FAM200B', 'C2orf68']</t>
  </si>
  <si>
    <t>mostly uncharacterized, incl. Cell cycle regulatory protein, and EPM2A-interacting protein 1/ZBED8-like</t>
  </si>
  <si>
    <t>REACTOME_RNA_POLYMERASE_II_TRANSCRIPTION_TERMINATION</t>
  </si>
  <si>
    <t>['SRSF5', 'CSTF2T']</t>
  </si>
  <si>
    <t>complex 8218</t>
  </si>
  <si>
    <t>['VMP1', 'DDT', 'SRSF5', 'DIDO1', 'SGK3', 'LUC7L3', 'CUTA', 'ARGLU1', 'VAMP1', 'TCTA', 'DCAF16', 'FMC1', 'MOAP1', 'C2orf68', 'TMEM80', 'CSTF2T', 'EPM2AIP1', 'DPM3', 'C11orf71', 'JRKL', 'TRIM52', 'KRBA2', 'DYNLT2', 'ZFP62', 'ZNF580', 'SMIM27', 'FAM200B', 'ZNF512', 'ZCCHC3', 'ATXN7L3B', 'BRK1']</t>
  </si>
  <si>
    <t>CL:10756</t>
  </si>
  <si>
    <t>['PDE4A', 'PDE9A']</t>
  </si>
  <si>
    <t>Cyclic nucleotide metabolic process, and Protein kinase A binding</t>
  </si>
  <si>
    <t>KEGG_PURINE_METABOLISM</t>
  </si>
  <si>
    <t>['WWC3', 'TNK2', 'PDE4A', 'CABIN1', 'RNF24', 'TMX4', 'SCAPER', 'SSBP2', 'PDE9A', 'HPS3', 'ZDHHC14', 'MSRA']</t>
  </si>
  <si>
    <t>PA700-20S-PA28 complex</t>
  </si>
  <si>
    <t>['PSMB1', 'PSMD8', 'PSMC5', 'PSMD2', 'PSMA1', 'PSMC2', 'PSMA4', 'PSMD1', 'PSMD4', 'PSMB2', 'PSMC1', 'PSMC6', 'PSMD11', 'PSMD7', 'PSMA3', 'PSMB6', 'PSMD14', 'PSMB3', 'PSMA7']</t>
  </si>
  <si>
    <t>CL:3706</t>
  </si>
  <si>
    <t>['PSMB1', 'PSMD8', 'PSMC5', 'PSMD2', 'PSMA1', 'PSMC2', 'PSMA4', 'PSMD1', 'USP14', 'PSMD4', 'ADRM1', 'PSMC1', 'PSMC6', 'PSMB2', 'PSMD11', 'PSMD7', 'POMP', 'PSMB6', 'PSMD14', 'PSMA3', 'PSMB3', 'PSMA7']</t>
  </si>
  <si>
    <t>Proteasome</t>
  </si>
  <si>
    <t>['PSMB1', 'PSMD8', 'PSMC5', 'PSMD2', 'PSMA1', 'PSMC2', 'PSMA4', 'PSMD1', 'PSMD4', 'PSMB2', 'PSMC1', 'PSMC6', 'PSMD11', 'PSMD7', 'POMP', 'PSMA3', 'PSMB6', 'PSMD14', 'PSMB3', 'PSMA7']</t>
  </si>
  <si>
    <t>REACTOME_PROTEASOME_ASSEMBLY</t>
  </si>
  <si>
    <t>['PSMB1', 'PSMD8', 'PSMC5', 'PSMD2', 'PSMA1', 'PSMC2', 'PSMA4', 'PSMD1', 'PSMG3', 'PSMD4', 'ADRM1', 'PSMB2', 'PSMC1', 'PSMC6', 'PSMD11', 'PSMD7', 'POMP', 'PSMA3', 'PSMB6', 'PSMD14', 'PSMB3', 'PSMA7']</t>
  </si>
  <si>
    <t>complex 3583</t>
  </si>
  <si>
    <t>['PSMB3', 'PSMB2', 'PSMA4', 'POMP']</t>
  </si>
  <si>
    <t>['SLC25A5', 'PSMB1', 'PTBP1', 'PPP5C', 'NDUFS1', 'PSMA4', 'U2AF2', 'ELAVL1', 'DAZAP1', 'HSD17B10', 'NUP37', 'ACAT1', 'SLC25A3', 'SNRPA', 'XPO1', 'WBP11', 'PSMC5', 'RTRAF', 'FUS', 'DLD', 'HNRNPC', 'PSMD8', 'HNRNPM', 'PSMC6', 'PSMA3', 'ERH', 'PSMC1', 'PSMA7', 'USP14', 'PSMD7', 'HNRNPL', 'CHCHD2', 'LSM5', 'CHCHD3', 'PSMD11', 'DHX15', 'EIF4G2', 'CAND1', 'SRSF9', 'ASF1A', 'PSMD14', 'SRSF7', 'ATP5PB', 'SFPQ', 'PRDX1', 'ITGB1BP1', 'RAD23B', 'SET', 'EXOSC9', 'SNRPD2', 'SNRPB', 'HNRNPR', 'PSMB2', 'UBA2', 'PSMA1', 'ADRM1', 'TRIM28', 'SNRPA1', 'POMP', 'SRRM1', 'RBM17', 'DHX9', 'TRA2B', 'SMPD4', 'ANP32B', 'PLAA', 'ANXA7', 'SNRPF', 'GTF2A2', 'ETFA', 'COPS3', 'PSMB6', 'SNRPG', 'TPRKB', 'CNOT9', 'DYNC1LI1', 'EAF2', 'RBMX', 'NDUFB9', 'ATP5F1A', 'HNRNPU', 'ATP5MC3', 'VBP1', 'AIFM1', 'PSMD4', 'PSMC2', 'MAGOH', 'FUBP1', 'GMPS', 'SUGT1', 'ATP5F1C', 'SAAL1', 'CIAO2A', 'NUDT21', 'NDUFV1', 'DNAJC7', 'MMADHC', 'STIP1', 'USP39', 'PRELID1', 'HNRNPF', 'HNRNPA3', 'PSMD1', 'ATP2A2', 'PSMD2', 'AURKAIP1', 'HSPA14', 'SRSF10', 'SF3B3', 'PPIA', 'COX20', 'NDUFS3', 'PRKDC', 'PSMB3', 'GLRX2', 'ISOC2', 'TIMM21', 'ANAPC5', 'HIRA', 'SAMM50', 'SLC25A17', 'L3MBTL2', 'SGTA', 'NSMCE4A', 'MLX', 'BAG2', 'ATP6V0B', 'MRM2', 'RRP36', 'CLPP', 'DOHH', 'TOE1', 'CARS2', 'LLPH', 'LPCAT1', 'PSMG3', 'LRWD1', 'FLVCR1', 'TMEM183A', 'GATAD2A', 'TRAPPC2L', 'NT5DC2', 'UQCRFS1', 'ELP5', 'POP7', 'NRROS', 'BRMS1', 'UBE2N', 'LSM10', 'GLRX5', 'TRAPPC4', 'NOP9', 'BAZ1A', 'PNP', 'MYCBP', 'MPV17L2', 'CCNQ', 'NOL12', 'MYO19', 'PAGR1']</t>
  </si>
  <si>
    <t>CL:3688</t>
  </si>
  <si>
    <t>['UBE2D2', 'DDA1', 'UFD1']</t>
  </si>
  <si>
    <t>Neddylation, and Ubiquitin-dependent protein catabolic process</t>
  </si>
  <si>
    <t>REACTOME_COMPLEX_IV_ASSEMBLY</t>
  </si>
  <si>
    <t>['RAB5IF', 'HIGD1A']</t>
  </si>
  <si>
    <t>['UFD1', 'RAB5IF', 'BCL7B', 'KCTD20', 'DDA1', 'UBE2D2', 'DPP9', 'ARMT1', 'RER1', 'ADIPOR1', 'HIGD1A']</t>
  </si>
  <si>
    <t>Cathepsin A-beta-galactosidase-neuraminidase complex</t>
  </si>
  <si>
    <t>['CTSA', 'NEU1']</t>
  </si>
  <si>
    <t>CL:28359</t>
  </si>
  <si>
    <t>['CTSA', 'NEU1', 'HEXA', 'RENBP']</t>
  </si>
  <si>
    <t>Glycosphingolipid metabolism, and Mucopolysaccharidoses</t>
  </si>
  <si>
    <t>KEGG_LYSOSOME</t>
  </si>
  <si>
    <t>['GBA1', 'HEXA', 'LAMP1', 'GNPTG', 'DNASE2', 'CTSA', 'NEU1', 'NPC2']</t>
  </si>
  <si>
    <t>REACTOME_GLYCOSPHINGOLIPID_CATABOLISM</t>
  </si>
  <si>
    <t>['CTSA', 'NEU1', 'GBA1', 'HEXA']</t>
  </si>
  <si>
    <t>complex 13373</t>
  </si>
  <si>
    <t>['MFSD1', 'GLMP']</t>
  </si>
  <si>
    <t>['CTSA', 'GNPTG', 'RENBP', 'SLC38A7', 'DNASE2', 'MFSD1', 'NPC2', 'GIPC1', 'SAT2', 'FLCN', 'CSTB', 'AMDHD2', 'RNF149', 'BRI3', 'WDR81', 'SPNS1', 'SMCR8', 'GBA1', 'LAMP1', 'GLMP', 'NEU1', 'HEXA', 'AP5Z1']</t>
  </si>
  <si>
    <t>ESCRT-III complex</t>
  </si>
  <si>
    <t>['CHMP3', 'CHMP4A']</t>
  </si>
  <si>
    <t>CL:14183</t>
  </si>
  <si>
    <t>Multivesicular body assembly</t>
  </si>
  <si>
    <t>KEGG_ENDOCYTOSIS</t>
  </si>
  <si>
    <t>['PLD2', 'RAB11B', 'CHMP3', 'CHMP4A']</t>
  </si>
  <si>
    <t>REACTOME_LATE_ENDOSOMAL_MICROAUTOPHAGY</t>
  </si>
  <si>
    <t>['HDAC6', 'CHMP3', 'CHMP4A']</t>
  </si>
  <si>
    <t>['RIPOR1', 'GSK3B', 'DPYSL2', 'HDAC6', 'DCAF11', 'NDRG3', 'FKBP8', 'CHMP3', 'RNF19B', 'SEPTIN6', 'TTBK2', 'PLD2', 'TBC1D5', 'CASP9', 'ALAD', 'PPP1R21', 'CGGBP1', 'STX8', 'RAB11B', 'STARD10', 'CHMP4A']</t>
  </si>
  <si>
    <t>Cytochrome c oxidase including assembly factors (COX, PET100, PET117, MR-1S)</t>
  </si>
  <si>
    <t>['NDUFA4', 'COX6C', 'PNKD', 'COX7A2', 'COX6B1']</t>
  </si>
  <si>
    <t>CL:11069</t>
  </si>
  <si>
    <t>['NDUFA4', 'NDUFB1', 'COX6C', 'NDUFB4', 'NDUFA2', 'COX7A2', 'ATP5MF', 'COX6B1', 'UQCR10', 'NDUFB3', 'ATP5PD', 'NDUFA1', 'ATP5MG']</t>
  </si>
  <si>
    <t>Respiratory electron transport, ATP synthesis by chemiosmotic coupling, and heat production by uncoupling proteins.</t>
  </si>
  <si>
    <t>KEGG_OXIDATIVE_PHOSPHORYLATION</t>
  </si>
  <si>
    <t>['NDUFA4', 'NDUFB1', 'COX6C', 'NDUFB4', 'ATP5MF', 'COX7A2', 'NDUFA2', 'COX6B1', 'NDUFB3', 'ATP5PD', 'UQCR10', 'NDUFA1', 'ATP5MG']</t>
  </si>
  <si>
    <t>REACTOME_AEROBIC_RESPIRATION_AND_RESPIRATORY_ELECTRON_TRANSPORT</t>
  </si>
  <si>
    <t>['NDUFA4', 'NDUFB1', 'COX6C', 'PNKD', 'NDUFB4', 'ATP5MF', 'COX7A2', 'NDUFA2', 'COX6B1', 'NDUFB3', 'ATP5PD', 'UQCR10', 'NDUFA1', 'ATP5MG']</t>
  </si>
  <si>
    <t>complex 68</t>
  </si>
  <si>
    <t>['NDUFB4', 'NDUFA1', 'NDUFB1', 'NDUFB3']</t>
  </si>
  <si>
    <t>['AP2S1', 'NDUFB4', 'UBE2A', 'RBX1', 'ELOB', 'COX7A2', 'NDUFB3', 'NDUFA1', 'ROMO1', 'COX6B1', 'PIN1', 'PNKD', 'NEDD8', 'TMEM160', 'ATP5IF1', 'NDUFA2', 'COX6C', 'ATP5MG', 'ATP5PD', 'FIBP', 'POLR2L', 'ARL6IP4', 'NDUFB1', 'UQCR10', 'NDUFA4', 'UBL5', 'DYNLT2B', 'TMA7', 'ATP5MF']</t>
  </si>
  <si>
    <t>POLR2B-POLR2C-RPAP1 complex</t>
  </si>
  <si>
    <t>['POLR2C', 'POLR2B']</t>
  </si>
  <si>
    <t>CL:11347</t>
  </si>
  <si>
    <t>['COA6', 'COX19']</t>
  </si>
  <si>
    <t>Cysteine alpha-hairpin motif superfamily, and Copper chaperone SCO1/SenC</t>
  </si>
  <si>
    <t>KEGG_RIBOFLAVIN_METABOLISM</t>
  </si>
  <si>
    <t>['MTMR2', 'ACP1']</t>
  </si>
  <si>
    <t>REACTOME_FORMATION_OF_TC_NER_PRE_INCISION_COMPLEX</t>
  </si>
  <si>
    <t>['ERCC8', 'POLR2B', 'COPS2', 'POLR2C', 'PPIE', 'COPS7B']</t>
  </si>
  <si>
    <t>complex 14313</t>
  </si>
  <si>
    <t>['NMT1', 'ACBD6']</t>
  </si>
  <si>
    <t>['TTC27', 'POLR2B', 'ERCC8', 'RCN1', 'PTCD2', 'MTFR1', 'CSNK2A2', 'DUSP12', 'PPIE', 'MTMR2', 'SNX5', 'TXNL1', 'ECHDC1', 'PFDN4', 'TPD52L2', 'NDUFAF5', 'POLR2C', 'EARS2', 'DCTN6', 'NFKBIB', 'EIF4H', 'CUL2', 'CCDC47', 'KRR1', 'HDDC2', 'TIMMDC1', 'SF3B6', 'MECR', 'RXYLT1', 'GTF3C3', 'NDUFA8', 'IDE', 'SHLD2', 'SBDS', 'TRMT5', 'METTL16', 'NDUFA5', 'MTX2', 'INO80', 'DCTD', 'ZCCHC9', 'MCCC2', 'RIDA', 'CDK8', 'CNDP2', 'THUMPD3', 'TMEM243', 'NMT1', 'SLC31A1', 'NARS2', 'ASNSD1', 'OLA1', 'NUP54', 'DENR', 'SKIC8', 'TXNL4B', 'PIP5K1A', 'C1orf43', 'ACP1', 'COPS7B', 'ENOPH1', 'CCDC25', 'LACTB2', 'EBAG9', 'GLUD1', 'FRA10AC1', 'CWC15', 'EEF1AKMT1', 'PTS', 'SUPV3L1', 'CNOT11', 'ZNF326', 'MAIP1', 'SMARCAD1', 'KBTBD8', 'COX18', 'RFT1', 'GFM2', 'ORC5', 'DCAF13', 'FXN', 'VDAC2', 'METTL17', 'TRUB1', 'PTER', 'API5', 'COPS2', 'LEO1', 'COQ4', 'COA6', 'UBE2V2', 'SF3B5', 'RWDD4', 'EWSR1', 'TTC32', 'C1D', 'TMA16', 'OPA1', 'DNAJC19', 'LYRM4', 'SMIM30', 'PPP2R2A', 'ACBD6', 'COX19', 'SMIM20', 'COA8']</t>
  </si>
  <si>
    <t>C complex spliceosome</t>
  </si>
  <si>
    <t>['CWC27', 'CWC22']</t>
  </si>
  <si>
    <t>CL:2035</t>
  </si>
  <si>
    <t>U2-type spliceosomal complex, and mRNA Splicing - Major Pathway</t>
  </si>
  <si>
    <t>REACTOME_RESPIRATORY_ELECTRON_TRANSPORT</t>
  </si>
  <si>
    <t>['NDUFA10', 'MDH2']</t>
  </si>
  <si>
    <t>complex 1629</t>
  </si>
  <si>
    <t>['BNIP1', 'WARS2', 'NDUFA10', 'PRPSAP2', 'EIF2D', 'MDH2', 'TATDN1', 'CWC27', 'CWC22', 'ZNF146', 'ZCCHC4', 'PRKRA']</t>
  </si>
  <si>
    <t>Arp2/3 protein complex</t>
  </si>
  <si>
    <t>['ARPC1B', 'ARPC3', 'ACTR2', 'ARPC5', 'ACTR3', 'ARPC4', 'ARPC2']</t>
  </si>
  <si>
    <t>CL:17855</t>
  </si>
  <si>
    <t>['ARPC3', 'ARPC1B', 'ACTR2', 'ARPC5', 'ACTR3', 'ARPC4', 'ARPC2']</t>
  </si>
  <si>
    <t>KEGG_PATHOGENIC_ESCHERICHIA_COLI_INFECTION</t>
  </si>
  <si>
    <t>['ACTG1', 'ARPC1B', 'ARPC3', 'YWHAZ', 'ARPC5', 'ARPC4', 'ARPC2']</t>
  </si>
  <si>
    <t>REACTOME_EPHB_MEDIATED_FORWARD_SIGNALING</t>
  </si>
  <si>
    <t>['ACTG1', 'ARPC1B', 'ARPC3', 'ACTR2', 'ARPC5', 'ACTR3', 'ARPC4', 'ARPC2', 'CFL1']</t>
  </si>
  <si>
    <t>complex 433</t>
  </si>
  <si>
    <t>['ARPC3', 'ARPC1B', 'ACTR2', 'ARPC5', 'ACTR3', 'ARPC4']</t>
  </si>
  <si>
    <t>['BAD', 'HEBP2', 'GNB1', 'SEC22C', 'STK24', 'PLOD3', 'ZNF592', 'MAP4K2', 'AIDA', 'VIM', 'TMSB10', 'LGALS1', 'KATNAL1', 'APAF1', 'IQGAP1', 'MGST3', 'ANXA5', 'ANXA2', 'CALM1', 'CNN2', 'ATP2A3', 'DNM2', 'MYL6', 'MYH9', 'RASSF2', 'CORO1A', 'DECR1', 'PFN1', 'NHERF1', 'ARPC3', 'ARHGDIB', 'GNAI2', 'ACTR3', 'PTBP3', 'PDZD11', 'POLR3GL', 'VPS26A', 'ARPC1B', 'LCP1', 'ACTR2', 'ACTR1A', 'NARF', 'C4orf33', 'NTAN1', 'ZYX', 'SHKBP1', 'ARPC5', 'ARPC2', 'YWHAZ', 'CARD19', 'TPM4', 'GNB2', 'PPP1CA', 'CFL1', 'GRK2', 'GLRX', 'RAB1B', 'ACTG1', 'MAP3K3', 'AGPAT1', 'ARPC4']</t>
  </si>
  <si>
    <t>CL:14902</t>
  </si>
  <si>
    <t>['MADD', 'ACAP2']</t>
  </si>
  <si>
    <t>uDENN domain, and ArfGAP ACAP1/2/3-like</t>
  </si>
  <si>
    <t>KEGG_NEUROTROPHIN_SIGNALING_PATHWAY</t>
  </si>
  <si>
    <t>['KIDINS220', 'SHC1']</t>
  </si>
  <si>
    <t>REACTOME_SIGNALLING_TO_ERKS</t>
  </si>
  <si>
    <t>complex 1425</t>
  </si>
  <si>
    <t>['RIPK1', 'NOTCH2']</t>
  </si>
  <si>
    <t>['FAM13B', 'BICRA', 'SLK', 'MARK2', 'ZZEF1', 'FRYL', 'OSTM1', 'SEL1L3', 'DHRS7', 'NFATC2', 'SETX', 'RAB5C', 'CTSC', 'MADD', 'ACAP2', 'TRAK2', 'STXBP3', 'FAM199X', 'REEP5', 'ACTR10', 'EFR3A', 'PRKAA1', 'NOTCH2', 'KIDINS220', 'RIPK1', 'CBX4', 'CCDC97', 'TOR1AIP1', 'RASA2', 'EFCAB14', 'SHC1', 'WBP1L', 'AKTIP', 'MIDN', 'ZNF641', 'C3AR1', 'RAB37', 'TADA2B', 'TMEM9B', 'USF3', 'RBM43', 'ARL15', 'MRTFA', 'ZNF780A', 'WWP2', 'ITSN2', 'SLC35F6', 'PI4KA']</t>
  </si>
  <si>
    <t>CL:17811</t>
  </si>
  <si>
    <t>['ARPC1A', 'RAC1']</t>
  </si>
  <si>
    <t>mixed, incl. Regulation of actin dynamics for phagocytic cup formation, and CDC42 GTPase cycle</t>
  </si>
  <si>
    <t>KEGG_FC_GAMMA_R_MEDIATED_PHAGOCYTOSIS</t>
  </si>
  <si>
    <t>REACTOME_RHO_GTPASES_ACTIVATE_WASPS_AND_WAVES</t>
  </si>
  <si>
    <t>['BMAL2', 'EXOC5', 'SEM1', 'RAC1', 'COX17', 'ACAA2', 'MED14', 'SPATS2L', 'KIFBP', 'HSBP1', 'ARPC1A']</t>
  </si>
  <si>
    <t>CL:4414</t>
  </si>
  <si>
    <t>['DCAF4', 'DCAF17']</t>
  </si>
  <si>
    <t>Cul4-RING E3 ubiquitin ligase complex</t>
  </si>
  <si>
    <t>REACTOME_TRNA_PROCESSING</t>
  </si>
  <si>
    <t>['ADAT2', 'TRMT61B']</t>
  </si>
  <si>
    <t>['GCFC2', 'ANGEL1', 'USP36', 'HYAL2', 'DCAF17', 'DCAF4', 'METTL8', 'RSAD1', 'WDR89', 'PPARGC1B', 'SLC9B2', 'CFAP97', 'ZNF507', 'TRMT61B', 'LRRC8D', 'DEAF1', 'PLD6', 'TMEM120B', 'ADAT2', 'ZNF121', 'ZNF587B', 'NUDT3']</t>
  </si>
  <si>
    <t>protein complex (DDX28; DHX30; GRSF1; FASTKD2; FASTKD5)</t>
  </si>
  <si>
    <t>['FASTKD2', 'DHX30', 'DDX28']</t>
  </si>
  <si>
    <t>CL:893</t>
  </si>
  <si>
    <t>['DDX31', 'GNL2', 'TEX10', 'RPUSD2', 'RPF1', 'NGDN', 'MPHOSPH6', 'DDX54', 'URB1', 'METTL1', 'MTREX', 'DDX24', 'PNPT1', 'URB2', 'EXOSC7', 'TTC4', 'RIOK1', 'BUD23', 'REXO4', 'FTSJ1', 'RIOK2', 'DUS3L', 'DNTTIP2', 'HGH1', 'PUM3', 'TYW3', 'LSG1', 'DDX55', 'NOM1', 'UTP23', 'TRMT1', 'QTRT1', 'TRMT61A', 'TRMT6', 'GTPBP3', 'YARS2']</t>
  </si>
  <si>
    <t>rRNA processing, and tRNA modification</t>
  </si>
  <si>
    <t>KEGG_RNA_DEGRADATION</t>
  </si>
  <si>
    <t>['MTREX', 'PNPT1', 'XRN2', 'EXOSC7', 'MPHOSPH6']</t>
  </si>
  <si>
    <t>REACTOME_TRNA_MODIFICATION_IN_THE_NUCLEUS_AND_CYTOSOL</t>
  </si>
  <si>
    <t>['TYW3', 'METTL1', 'FTSJ1', 'TRMT1', 'QTRT1', 'TRMT6', 'TRMT61A']</t>
  </si>
  <si>
    <t>complex 9154</t>
  </si>
  <si>
    <t>['TRUB2', 'FASTKD2', 'DAP3']</t>
  </si>
  <si>
    <t>['KDM1A', 'LUC7L', 'NADK', 'UBE3C', 'RABEP1', 'METTL1', 'MTREX', 'LSG1', 'POLR3E', 'RIOK2', 'ALDH18A1', 'YBX3', 'PMS1', 'NTHL1', 'DNTTIP2', 'FTSJ1', 'BUD23', 'EXOSC7', 'PUM3', 'SLC27A5', 'ZMPSTE24', 'CAD', 'TXLNG', 'METTL2A', 'XRN2', 'MAPKAPK5', 'GCN1', 'TRMT6', 'PEBP1', 'DDX24', 'CDV3', 'SRRD', 'TIMM9', 'RBFA', 'KNOP1', 'GFUS', 'PYCR3', 'TRMT1', 'URI1', 'PDCD5', 'ARMC6', 'TMEM147', 'PALS2', 'EIF3A', 'TWNK', 'MTPAP', 'PNPO', 'NUP88', 'ZNF330', 'ZPR1', 'NAA25', 'DDX55', 'NT5DC3', 'UBE3A', 'C1orf109', 'RPF1', 'B4GALT2', 'FASTKD2', 'EEF2KMT', 'UCHL3', 'AKAP1', 'DDX54', 'PRDX4', 'AMD1', 'DNPEP', 'RIOK1', 'ABCC4', 'MSTO1', 'DDX31', 'PDCD2L', 'TIMM8A', 'EMC1', 'SMARCA4', 'PPAT', 'NGDN', 'DTD2', 'GTPBP3', 'MLLT1', 'METTL26', 'DHX30', 'NXT1', 'DAP3', 'DPH2', 'XPO4', 'HSPBP1', 'C12orf29', 'GNL2', 'ELP2', 'SMYD5', 'MPHOSPH6', 'URB2', 'TEX10', 'RABEPK', 'MYC', 'VARS2', 'THAP12', 'TUBGCP4', 'PNPT1', 'YARS2', 'CUL4A', 'PMM2', 'TAF4B', 'FEM1A', 'DUS3L', 'URB1', 'GEMIN7', 'POGK', 'NAF1', 'NOM1', 'UTP23', 'SIGMAR1', 'REXO4', 'PPRC1', 'AASDHPPT', 'TMEM138', 'TIMM8B', 'NOCT', 'QDPR', 'SACS', 'HOMER1', 'TOMM70', 'OTUD6B', 'CARNMT1', 'C12orf43', 'HK2', 'DFFA', 'VMA21', 'SLX9', 'FLAD1', 'YDJC', 'LARP4', 'JMJD8', 'COA7', 'TYW3', 'TFB2M', 'U2SURP', 'AIMP1', 'NDUFAF2', 'CDCA7L', 'WRN', 'DNAAF2', 'ENTR1', 'RPUSD2', 'TRMT61A', 'TRUB2', 'DDX19A', 'ARMC10', 'ZNRD2', 'CEP83', 'TRMT10C', 'YIF1A', 'CCDC85B', 'CHID1', 'GTPBP6', 'GADD45GIP1', 'SCRIB', 'C8orf33', 'DDX28', 'MTA1', 'NR2C2AP', 'UBE2G2', 'HPDL', 'GTF2F2', 'ALKBH2', 'PRPF40A', 'HDAC2', 'ANKRD13B', 'APRT', 'TRIM27', 'QTRT1', 'TMX2', 'ALG3', 'FAM174C', 'HGH1', 'TTC4', 'PDCD6', 'RBM15B', 'AARSD1', 'TAF9', 'PIGW', 'CISD3', 'MRM1']</t>
  </si>
  <si>
    <t>CL:29797</t>
  </si>
  <si>
    <t>['GIMAP6', 'GIMAP7', 'GIMAP8', 'GIMAP2', 'GIMAP5', 'GIMAP4']</t>
  </si>
  <si>
    <t>GTPase GIMA/IAN/Toc</t>
  </si>
  <si>
    <t>complex 2094</t>
  </si>
  <si>
    <t>['GIMAP8', 'GIMAP7']</t>
  </si>
  <si>
    <t>['ST6GAL1', 'IL4R', 'MAP3K1', 'GIMAP2', 'GIMAP6', 'GIMAP4', 'GIMAP8', 'GIMAP7', 'IKZF1', 'GIMAP5']</t>
  </si>
  <si>
    <t>CL:14176</t>
  </si>
  <si>
    <t>['UEVLD', 'SPTY2D1', 'CHMP5', 'LRRC57']</t>
  </si>
  <si>
    <t>Multivesicular body assembly, and BRO1 domain</t>
  </si>
  <si>
    <t>KEGG_TGF_BETA_SIGNALING_PATHWAY</t>
  </si>
  <si>
    <t>['SMAD7', 'BMPR2']</t>
  </si>
  <si>
    <t>REACTOME_SIGNALING_BY_BMP</t>
  </si>
  <si>
    <t>['CHMP5', 'SMAD7', 'LYRM1', 'C1GALT1', 'FGL2', 'AFDN', 'ITGAV', 'SPPL2A', 'GPR107', 'UEVLD', 'NEK7', 'TRIP12', 'RRAGA', 'AMFR', 'TCP11L1', 'ANO6', 'SPTY2D1', 'LRRC57', 'DCUN1D3', 'BMPR2']</t>
  </si>
  <si>
    <t>Nop56p-associated pre-rRNA complex</t>
  </si>
  <si>
    <t>['EBNA1BP2', 'DDX21', 'GNL3', 'TCOF1']</t>
  </si>
  <si>
    <t>CL:910</t>
  </si>
  <si>
    <t>['WDR12', 'EBNA1BP2', 'GNL3', 'PAK1IP1']</t>
  </si>
  <si>
    <t>mixed, incl. Preribosome, large subunit precursor, and ATP-dependent RNA helicase DEAD-box, conserved site</t>
  </si>
  <si>
    <t>['FARSB', 'VARS1']</t>
  </si>
  <si>
    <t>REACTOME_RRNA_PROCESSING</t>
  </si>
  <si>
    <t>['GNL3', 'WDR12', 'GAR1', 'EBNA1BP2', 'DDX21']</t>
  </si>
  <si>
    <t>complex 1606</t>
  </si>
  <si>
    <t>['WDR12', 'EBNA1BP2', 'NOP16']</t>
  </si>
  <si>
    <t>['NOP16', 'TCOF1', 'GAR1', 'GTF2H3', 'PAK1IP1', 'FARSB', 'EBNA1BP2', 'WDR12', 'GNL3', 'DDX21', 'VARS1']</t>
  </si>
  <si>
    <t>CL:25996</t>
  </si>
  <si>
    <t>['MPHOSPH9', 'CEP192']</t>
  </si>
  <si>
    <t>mixed, incl. Centriole replication, and Ciliary rootlet component, centrosome cohesion</t>
  </si>
  <si>
    <t>['NAGA', 'AP1M1', 'GUSB']</t>
  </si>
  <si>
    <t>REACTOME_SUMOYLATION_OF_TRANSCRIPTION_FACTORS</t>
  </si>
  <si>
    <t>['SP3', 'SUMO3']</t>
  </si>
  <si>
    <t>complex 11543</t>
  </si>
  <si>
    <t>['NRM', 'ARL6IP6']</t>
  </si>
  <si>
    <t>['SUMO3', 'ARHGAP33', 'TPR', 'MPHOSPH9', 'TTC7A', 'AP1M1', 'TRIOBP', 'LMF2', 'PMM1', 'CEP192', 'PPP2R5D', 'NNT', 'SLC2A4RG', 'HP1BP3', 'CDKN2D', 'ATP8B3', 'RTN3', 'BLOC1S1', 'DCTN3', 'NRM', 'NUMA1', 'CARHSP1', 'DCK', 'CALM3', 'ZDHHC12', 'PRPSAP1', 'H3-3A', 'PSIP1', 'GUSB', 'KBTBD2', 'SP3', 'C11orf80', 'COX8A', 'ARL6IP6', 'SPIN4', 'AP2A1', 'GPAA1', 'NAGA', 'CRIP1', 'MXD3']</t>
  </si>
  <si>
    <t>['MSANTD3', 'SGCB']</t>
  </si>
  <si>
    <t>REACTOME_MEMBRANE_TRAFFICKING</t>
  </si>
  <si>
    <t>['PACSIN2', 'SCOC']</t>
  </si>
  <si>
    <t>['MSANTD3', 'TMEM14A', 'CYB5R3', 'PACSIN2', 'STK3', 'CORO1C', 'GPD2', 'FANCL', 'NENF', 'HMGN3', 'TSPAN3', 'SCCPDH', 'SCOC', 'SGCB', 'CCDC171', 'UBXN2A', 'CMC1', 'ECI2']</t>
  </si>
  <si>
    <t>CCR2-CCR5 complex</t>
  </si>
  <si>
    <t>['CCR2', 'CCR5']</t>
  </si>
  <si>
    <t>CL:15741</t>
  </si>
  <si>
    <t>['CCR2', 'CCR1', 'CXCR6']</t>
  </si>
  <si>
    <t>Chemokine receptors bind chemokines</t>
  </si>
  <si>
    <t>['CCR2', 'IL9R', 'TNFSF10', 'CXCR6', 'CCR5', 'CSF2RB', 'CCR1']</t>
  </si>
  <si>
    <t>REACTOME_CHEMOKINE_RECEPTORS_BIND_CHEMOKINES</t>
  </si>
  <si>
    <t>['CCR2', 'CXCR6', 'CCR1', 'CCR5']</t>
  </si>
  <si>
    <t>complex 3995</t>
  </si>
  <si>
    <t>['CCR1', 'CCR5']</t>
  </si>
  <si>
    <t>['MMP25', 'STAP1', 'CAPG', 'LAT2', 'NCF4', 'CSF2RB', 'ATP8B4', 'GATA3', 'CCR2', 'TNFSF10', 'IL9R', 'ADAM19', 'AOAH', 'ARRB1', 'PPCDC', 'GALNT6', 'GZMA', 'DOCK5', 'MYO1E', 'FCER1G', 'CCR5', 'CCR1', 'HPGD', 'STX3', 'C15orf39', 'CXCR6', 'HEG1', 'KIAA0825', 'TOR4A', 'ITGA1']</t>
  </si>
  <si>
    <t>['DUS1L', 'GPATCH4', 'EMG1', 'PUS7', 'DIMT1', 'WDR18']</t>
  </si>
  <si>
    <t>['PFAS', 'ATIC', 'PAICS']</t>
  </si>
  <si>
    <t>REACTOME_PURINE_RIBONUCLEOSIDE_MONOPHOSPHATE_BIOSYNTHESIS</t>
  </si>
  <si>
    <t>complex 1185</t>
  </si>
  <si>
    <t>['DIMT1', 'GPATCH4']</t>
  </si>
  <si>
    <t>['SLC38A5', 'WDR18', 'SEH1L', 'DIMT1', 'PUS7', 'TIMM50', 'AIMP2', 'EMG1', 'PAICS', 'BZW2', 'ATIC', 'PFDN2', 'RPIA', 'MIX23', 'GPATCH4', 'ABCE1', 'NOLC1', 'MLST8', 'DUS1L', 'CTU2', 'PFAS', 'SFXN4', 'PRMT3', 'IFRD2']</t>
  </si>
  <si>
    <t>DNA synthesome complex, breast cancer cells</t>
  </si>
  <si>
    <t>['POLE', 'RFC4', 'PCNA', 'POLA2', 'POLD3', 'PARP1', 'RFC2', 'PRIM1', 'RFC3', 'LIG1', 'RFC5', 'POLE2', 'PRIM2', 'POLD1']</t>
  </si>
  <si>
    <t>CL:6139</t>
  </si>
  <si>
    <t>['RFC4', 'PSMC3IP', 'BRIP1', 'MAD2L2', 'CDK2', 'LIG1', 'CHEK2', 'HELLS', 'KNTC1', 'CDC7', 'NEIL3', 'XRCC2', 'CLSPN', 'FANCB', 'NCAPD3', 'MCM5', 'MCM10', 'RFWD3', 'WEE1', 'DSCC1', 'FBXO5', 'RFC3', 'ORC6', 'RBL1', 'MMS22L', 'ATAD2', 'FANCG', 'CCNE1', 'RAD54B', 'FANCC', 'TRIP13', 'ANAPC11', 'SKP2', 'RAD18', 'FEN1', 'CDC45', 'MIS18A', 'DSN1', 'CENPP', 'DONSON', 'DDIAS', 'RAD51C', 'POLD1', 'E2F8', 'LIN9', 'POLD3', 'TONSL', 'WDHD1', 'CCNE2', 'PCNA', 'GINS1', 'TIMELESS', 'CENPM', 'WDR76', 'FANCA', 'E2F2', 'MLH1', 'NCAPH2', 'BLM', 'MND1', 'CENPQ', 'MRE11', 'BRCA2', 'MCMBP', 'HLTF', 'RMI2', 'RMI1', 'MSH6', 'DMC1', 'MCM7', 'MSH2', 'PCLAF', 'CHEK1', 'MCM3', 'MYBL2', 'POLE', 'RECQL', 'EXO1', 'NSL1', 'CDCA7', 'MCM2', 'EME1', 'XRCC1', 'LIN54', 'RFC2', 'GINS3', 'MCM6', 'CDT1', 'RAD51', 'RAD54L', 'CENPU', 'MCM4', 'DNA2', 'POLA2', 'E2F7', 'CHTF18', 'ZWILCH', 'PRIM1', 'BRCA1', 'GINS2', 'PRIM2', 'UNG', 'ATAD5', 'E2F1', 'TOPBP1', 'POLE2', 'CDC25A', 'AUNIP', 'ORC1', 'CENPH', 'CDC6', 'RFC5', 'GMNN', 'MCM8', 'BARD1']</t>
  </si>
  <si>
    <t>DNA repair, and Mitosis</t>
  </si>
  <si>
    <t>KEGG_DNA_REPLICATION</t>
  </si>
  <si>
    <t>['RFC4', 'RFC2', 'MCM6', 'FEN1', 'LIG1', 'MCM4', 'DNA2', 'POLA2', 'PRIM1', 'MCM5', 'PRIM2', 'POLD1', 'MCM7', 'POLD3', 'RNASEH2A', 'RFC3', 'POLE2', 'MCM3', 'POLE', 'PCNA', 'RFC5', 'MCM2']</t>
  </si>
  <si>
    <t>REACTOME_DNA_STRAND_ELONGATION</t>
  </si>
  <si>
    <t>['RFC4', 'RFC2', 'GINS3', 'MCM6', 'FEN1', 'LIG1', 'MCM4', 'DNA2', 'POLA2', 'CDC45', 'PRIM1', 'MCM5', 'GINS2', 'PRIM2', 'POLD1', 'MCM7', 'POLD3', 'RFC3', 'MCM3', 'PCNA', 'GINS1', 'RFC5', 'MCM8', 'MCM2']</t>
  </si>
  <si>
    <t>complex 6749</t>
  </si>
  <si>
    <t>['MCM7', 'POLA2', 'GINS3', 'ORC1', 'CDC6', 'DONSON', 'MCM5', 'MCM3']</t>
  </si>
  <si>
    <t>['RECQL', 'REXO5', 'E2F2', 'BAZ1B', 'BRCA1', 'UBR7', 'POLA2', 'MRE11', 'DERA', 'NCAPH2', 'CENPQ', 'PI4K2B', 'RFC2', 'RAD51', 'NDC1', 'POLD1', 'MCM10', 'RAD18', 'TRIP13', 'HLTF', 'SMC1A', 'XRCC1', 'MCM2', 'MCM6', 'MLH1', 'UNG', 'POLD3', 'KEAP1', 'RBL1', 'IFT25', 'PDS5B', 'ORC1', 'RAD54L', 'KHSRP', 'ORC6', 'HAUS4', 'SUPT16H', 'WDR76', 'CLSPN', 'NUP50', 'CDC45', 'CDC6', 'CBX5', 'MSH2', 'CDC7', 'CENPM', 'DMC1', 'HMGXB4', 'MCM5', 'POLE2', 'CEP128', 'MTHFD1', 'VRK1', 'GINS1', 'MYBL2', 'E2F1', 'RBBP7', 'GLA', 'ACD', 'CCP110', 'CEP152', 'MCM4', 'RNASEH2A', 'ASF1B', 'CCNE1', 'HNRNPUL1', 'LIG1', 'EZH2', 'SMC3', 'RAD51C', 'NEIL3', 'NSD2', 'GPN3', 'RAD51AP1', 'RFC5', 'NUP107', 'TIMELESS', 'FBXO5', 'MCM3', 'GMNN', 'CEP72', 'LMNB1', 'MACROH2A1', 'PASK', 'MSH6', 'ICMT', 'MAD2L2', 'TTF2', 'NSL1', 'STAG1', 'CTNNAL1', 'DYNC2I2', 'CNTRL', 'ACYP1', 'TTLL5', 'HELLS', 'NUP43', 'MASTL', 'MND1', 'CBX3', 'HNRNPA2B1', 'DDX39A', 'CDK2', 'CSE1L', 'NUP153', 'DEK', 'HROB', 'NUP85', 'MCM8', 'RALY', 'TUBGCP3', 'AUNIP', 'PKMYT1', 'CHTF18', 'HAT1', 'DUT', 'E2F8', 'LSM4', 'UBAC1', 'CEP85', 'DNMT1', 'GINS2', 'TUBG1', 'PSMC3IP', 'DCAF15', 'NUP210', 'FIGNL1', 'PCNA', 'RFC3', 'SLF1', 'TMEM106C', 'TPGS2', 'C9orf40', 'BRIP1', 'CDK5RAP2', 'DSCC1', 'TCF19', 'BUD13', 'DNA2', 'BARD1', 'ZGRF1', 'HNRNPD', 'GSTCD', 'HADH', 'GUCD1', 'NEDD1', 'BRCA2', 'IMPA2', 'WRAP53', 'ANAPC11', 'FN3KRP', 'SAMD1', 'AKT1', 'DTL', 'PARP1', 'SLC20A1', 'CDCA7', 'ABHD10', 'SPATA5', 'SKP2', 'PRIM2', 'MMS22L', 'CEP78', 'TAF5', 'MTA2', 'CHEK1', 'DSN1', 'CABLES2', 'HIRIP3', 'NCAPD3', 'CENPU', 'HAUS1', 'SUV39H2', 'CENPH', 'EME1', 'NUP205', 'TMEM237', 'PABIR2', 'FBXO43', 'ATAD2', 'SASS6', 'PAXIP1', 'FANCC', 'MIS18A', 'DONSON', 'CSRP1', 'C21orf58', 'PCNT', 'TONSL', 'RECQL4', 'SRSF2', 'RAVER1', 'SNRNP25', 'WDR90', 'TEDC2', 'USP1', 'RBM15', 'TOPBP1', 'RFC4', 'PBRM1', 'SLBP', 'PIGX', 'H2AZ1', 'CDC25A', 'ZNF367', 'SPTSSA', 'DDIAS', 'LRR1', 'E2F7', 'CEP295', 'WEE1', 'MCM7', 'PCLAF', 'C18orf54', 'NEMP1', 'PPP2R3B', 'RAB8A', 'CDT1', 'SPATA33', 'CHAF1A', 'TK1', 'SPINDOC', 'SAC3D1', 'DTYMK', 'RFWD3', 'FEN1', 'TBC1D10B', 'LRRC45', 'ESCO2', 'THOP1', 'MTBP', 'HCFC1', 'LRRC20', 'CNP', 'NET1', 'EXO1', 'ZWILCH', 'CCNE2', 'ZNF519', 'CCDC14', 'RMI2', 'ATAD5', 'TYMS', 'SHMT1', 'ZDHHC13', 'POLE', 'SUZ12', 'RMI1', 'FANCB', 'GINS3', 'PLCXD1', 'NAA38', 'SLC25A10', 'ALYREF', 'CHEK2', 'LIN9', 'PGP', 'KNTC1', 'SIVA1', 'BRI3BP', 'FAF1', 'FANCA', 'CENPP', 'FAM111B', 'LIN54', 'XRCC2', 'RABL6', 'ERI2', 'RAD54B', 'BLM', 'MCMBP', 'PRIM1', 'TFDP1', 'WDHD1', 'IPO9', 'CCDC167', 'MSH5', 'CCHCR1', 'C4orf46', 'HMGN1', 'JPT2', 'DNAJC9', 'FANCG', 'DHFR', 'C12orf75', 'UHRF1', 'H2BC3', 'RDM1']</t>
  </si>
  <si>
    <t>P2X7 receptor signalling complex</t>
  </si>
  <si>
    <t>['ITGB2', 'ACTN4']</t>
  </si>
  <si>
    <t>CL:19272</t>
  </si>
  <si>
    <t>['AHNAK', 'S100A6', 'S100A10']</t>
  </si>
  <si>
    <t>mixed, incl. Positive regulation of plasma membrane repair, and Annexin</t>
  </si>
  <si>
    <t>KEGG_LEUKOCYTE_TRANSENDOTHELIAL_MIGRATION</t>
  </si>
  <si>
    <t>['ITGB2', 'MSN', 'ACTN4', 'SIPA1']</t>
  </si>
  <si>
    <t>REACTOME_RAC1_GTPASE_CYCLE</t>
  </si>
  <si>
    <t>['PLEKHG2', 'MYO9B', 'ARHGAP30', 'ESYT1', 'DOCK8', 'ARHGAP27', 'ABR', 'ARHGEF6']</t>
  </si>
  <si>
    <t>complex 1588</t>
  </si>
  <si>
    <t>['ARHGEF6', 'MYO9B']</t>
  </si>
  <si>
    <t>['LASP1', 'INPP4A', 'ATP2B4', 'BCL3', 'MKNK1', 'CLDND1', 'PLEKHG2', 'MYO9B', 'GRAP2', 'CDS2', 'PYCARD', 'RASAL3', 'JAK3', 'DOCK8', 'SASH3', 'AHNAK', 'MACF1', 'ARHGEF6', 'ACTN4', 'CSNK1G2', 'AGAP2', 'CCM2', 'USP20', 'CALHM2', 'CLSTN3', 'ESYT1', 'RHOF', 'FURIN', 'MEAK7', 'EMP3', 'RNPEPL1', 'SH3BGRL3', 'PPP1R18', 'MSN', 'COMMD7', 'UTRN', 'ARHGAP27', 'ABR', 'ITGB2', 'NBEAL2', 'CAPN2', 'CTSB', 'TMEM71', 'ANKDD1A', 'TBC1D2B', 'NLRC3', 'CCDC88B', 'RGS19', 'THEMIS', 'ANKRD13D', 'RNF213', 'ZBTB4', 'AGTRAP', 'FES', 'RFLNB', 'ARHGAP30', 'TRPV2', 'S100A4', 'FLNA', 'SPN', 'S100A10', 'S100A6', 'SIPA1', 'DDAH2', 'TNFSF12', 'PLEKHO2', 'CORO7']</t>
  </si>
  <si>
    <t>CL:17813</t>
  </si>
  <si>
    <t>['SPIRE1', 'ABI2']</t>
  </si>
  <si>
    <t>mixed, incl. RHO GTPases Activate WASPs and WAVEs, and Actin nucleation</t>
  </si>
  <si>
    <t>KEGG_FOCAL_ADHESION</t>
  </si>
  <si>
    <t>['ACTN1', 'MAPK8']</t>
  </si>
  <si>
    <t>REACTOME_CELL_JUNCTION_ORGANIZATION</t>
  </si>
  <si>
    <t>['ACTN1', 'PVR']</t>
  </si>
  <si>
    <t>['DCBLD2', 'CYBRD1', 'ACTN1', 'PVR', 'PHLPP1', 'PON2', 'MAPK8', 'SPIRE1', 'GOLM1', 'ABI2', 'PTPRK', 'TUBB6', 'PLAAT3', 'NF1']</t>
  </si>
  <si>
    <t>['CCT4', 'TCP1', 'CCT8', 'CCT6A', 'CCT5']</t>
  </si>
  <si>
    <t>CL:1759</t>
  </si>
  <si>
    <t>['CHORDC1', 'AHSA1', 'HSPH1', 'CCT4', 'HSPA4', 'HSPE1', 'TCP1', 'PSMG1', 'HSP90AA1', 'CCT8', 'HSP90AB1', 'CCT6A', 'CCT5', 'HSPD1', 'TRAP1']</t>
  </si>
  <si>
    <t>Chaperone, and RPAP3/R2TP/prefoldin-like complex</t>
  </si>
  <si>
    <t>KEGG_CYSTEINE_AND_METHIONINE_METABOLISM</t>
  </si>
  <si>
    <t>['LDHB', 'AHCY', 'GOT2', 'SRM']</t>
  </si>
  <si>
    <t>REACTOME_FOLDING_OF_ACTIN_BY_CCT_TRIC</t>
  </si>
  <si>
    <t>complex 9053</t>
  </si>
  <si>
    <t>['TCP1', 'PSMG1', 'CCT6A', 'HSP90AB1', 'CCT5']</t>
  </si>
  <si>
    <t>['POLDIP2', 'NDUFAB1', 'GGCT', 'STRAP', 'FAM136A', 'NSUN2', 'SNRNP40', 'ZC3H15', 'YBX1', 'DDX1', 'HSP90AA1', 'ME2', 'IPO11', 'NUDC', 'HSP90AB1', 'TIMM13', 'SNU13', 'TOMM22', 'POLR3H', 'GNPNAT1', 'AHSA1', 'PRELID3B', 'AHCY', 'KPNA3', 'NUP93', 'PRPF31', 'BCCIP', 'GLRX3', 'TFAM', 'C1QBP', 'EFTUD2', 'CHORDC1', 'ATP5F1B', 'METAP2', 'LDHB', 'BRIX1', 'EIF4G1', 'PPM1G', 'CCT4', 'HSPE1', 'ODC1', 'SRM', 'UCHL5', 'SDHB', 'SLIRP', 'FAM98A', 'TCP1', 'NUDCD1', 'HSPH1', 'EXOSC8', 'SNRPC', 'EEF1E1', 'GOT2', 'SNRPB2', 'PRMT1', 'TRAP1', 'TOMM40', 'DKC1', 'PSME3', 'CCDC59', 'TIMM17A', 'SLC43A3', 'TIMM10', 'CDK4', 'LTV1', 'PPIL1', 'DCUN1D5', 'LRPPRC', 'TXNL4A', 'SERBP1', 'UCK2', 'ILF2', 'HSPD1', 'LYAR', 'CCT6A', 'PRPS1', 'SSRP1', 'CCT5', 'DLAT', 'EIF4E', 'CDC123', 'GEMIN6', 'CCT8', 'MALSU1', 'EIF5B', 'GART', 'ATAD3B', 'EIF4A1', 'NAA15', 'FABP5', 'SLC25A32', 'STOML2', 'IDH3A', 'PA2G4', 'HSPA4', 'CTPS1', 'CYCS', 'NAA20', 'TOMM5', 'RUVBL1', 'IMPDH2', 'TUFM', 'DCTPP1', 'RCC1', 'SF3A3', 'PSMG1', 'CMSS1', 'YRDC', 'ATAD3A', 'MAK16', 'E2F4', 'VDAC1', 'NOL7', 'NME1', 'NME2', 'PGAM5', 'TIMM23']</t>
  </si>
  <si>
    <t>CL:20825</t>
  </si>
  <si>
    <t>['FKBP4', 'CARM1']</t>
  </si>
  <si>
    <t>mixed, incl. Steroid-binding, and Steroid receptor coactivator</t>
  </si>
  <si>
    <t>REACTOME_PROCESSING_OF_SMDT1</t>
  </si>
  <si>
    <t>['AFG3L2', 'PHB1']</t>
  </si>
  <si>
    <t>['FKBP4', 'ABCF2', 'PRMT5', 'GSPT1', 'NDUFAF4', 'TBRG4', 'METTL5', 'AFG3L2', 'CARM1', 'CFAP298', 'PHB1', 'SLC25A33']</t>
  </si>
  <si>
    <t>CENP-H-I complex</t>
  </si>
  <si>
    <t>['CENPO', 'CENPI', 'CENPN', 'CENPL']</t>
  </si>
  <si>
    <t>CL:6596</t>
  </si>
  <si>
    <t>['SKA3', 'HASPIN', 'SKA1', 'SMC2', 'MAD2L1', 'PARPBP', 'OIP5', 'MELK', 'CENPO', 'SPDL1', 'CENPN', 'NCAPH', 'SHCBP1', 'CDC27', 'C1orf112', 'NCAPG', 'CENPI', 'CENPL', 'ERCC6L', 'CENPW']</t>
  </si>
  <si>
    <t>mixed, incl. Mitotic Spindle Checkpoint, and Mitotic sister chromatid segregation</t>
  </si>
  <si>
    <t>['TUBA1B', 'TUBA4A', 'TUBB']</t>
  </si>
  <si>
    <t>REACTOME_MITOTIC_PROMETAPHASE</t>
  </si>
  <si>
    <t>['CDCA5', 'ERCC6L', 'CENPL', 'CENPO', 'CENPI', 'NCAPG', 'SPDL1', 'CENPN', 'NCAPH', 'PLK4', 'CENPJ', 'ODF2', 'SMC2', 'SKA1', 'TUBA1B', 'MAD2L1', 'TUBA4A', 'TUBB']</t>
  </si>
  <si>
    <t>complex 1668</t>
  </si>
  <si>
    <t>['CENPN', 'CENPI', 'SKA3', 'CENPL']</t>
  </si>
  <si>
    <t>['C1orf112', 'CDC27', 'DBF4', 'SPDL1', 'POLQ', 'UBE2T', 'SUV39H1', 'CENPI', 'OIP5', 'NUDT1', 'NCAPG', 'PHF19', 'CENPL', 'NCAPH', 'CCDC18', 'TUBA1B', 'STIL', 'BCL2L12', 'TUBA4A', 'ODF2', 'SMC2', 'GGH', 'CENPO', 'DIAPH3', 'FANCI', 'TICRR', 'SAE1', 'PLK4', 'ANP32E', 'LBR', 'MTFR2', 'CDCA5', 'CENPJ', 'SKA1', 'DBF4B', 'CIP2A', 'POC1A', 'SAP30', 'MAD2L1', 'MELK', 'SKA3', 'CENPN', 'RRM1', 'SHCBP1', 'LMNB2', 'HASPIN', 'GEN1', 'KMT5A', 'PARPBP', 'SAPCD2', 'ERCC6L', 'TUBB', 'CENPW']</t>
  </si>
  <si>
    <t>KIF4A-KIF14-KIF20A-KIF23-PRC1 complex</t>
  </si>
  <si>
    <t>['PRC1', 'KIF20A', 'KIF14', 'KIF23', 'KIF4A']</t>
  </si>
  <si>
    <t>CL:6606</t>
  </si>
  <si>
    <t>['CIT', 'DLGAP5', 'MKI67', 'CDC20', 'KIF2C', 'SPAG5', 'CKAP2L', 'FAM83D', 'NCAPD2', 'INCENP', 'CDCA8', 'PRC1', 'AURKA', 'CDCA2', 'KIF20A', 'BIRC5', 'DEPDC1B', 'KIF14', 'TTK', 'FOXM1', 'TPX2', 'ARHGAP11A', 'KIF18B', 'KIF4A', 'KIFC1', 'KNSTRN', 'CENPE', 'AURKB', 'ECT2', 'NCAPG2', 'TOP2A', 'SMC4', 'KIF23', 'CCNB1', 'BUB1', 'BUB1B', 'CCNB2', 'CEP55', 'RACGAP1', 'CDKN3', 'HMMR', 'CENPF', 'CKAP2', 'PLK1', 'KIF11', 'ANLN', 'PBK', 'NUSAP1']</t>
  </si>
  <si>
    <t>Mitotic sister chromatid segregation, and Mitotic spindle checkpoint signaling</t>
  </si>
  <si>
    <t>KEGG_CELL_CYCLE</t>
  </si>
  <si>
    <t>['FZR1', 'CDKN2C', 'CDC25C', 'PTTG1', 'CCNA2', 'CDC20', 'PLK1', 'CDK1', 'TTK', 'ESPL1', 'BUB1B', 'CCNB1', 'BUB1', 'CDC25B', 'CCNB2', 'RAD21']</t>
  </si>
  <si>
    <t>REACTOME_RESOLUTION_OF_SISTER_CHROMATID_COHESION</t>
  </si>
  <si>
    <t>['CDC20', 'CKAP5', 'KIF2C', 'INCENP', 'NDE1', 'SGO2', 'CDCA8', 'SGO1', 'BIRC5', 'TUBB4B', 'CENPE', 'AURKB', 'SPC25', 'KNL1', 'NUF2', 'CENPA', 'BUB1B', 'CCNB1', 'BUB1', 'CCNB2', 'RAD21', 'KIF18A', 'TUBA1C', 'CENPF', 'NDC80', 'PLK1', 'CDK1', 'SPC24']</t>
  </si>
  <si>
    <t>complex 11246</t>
  </si>
  <si>
    <t>['AURKA', 'AURKB', 'BIRC5', 'INCENP', 'CDCA8']</t>
  </si>
  <si>
    <t>['NCAPD2', 'ANLN', 'TACC3', 'DEPDC1', 'DEPDC1B', 'ASPM', 'PRR11', 'NUCKS1', 'HMMR', 'NDE1', 'GTSE1', 'SPAG5', 'KIF22', 'NDC80', 'AURKA', 'TPX2', 'BIRC5', 'KIF4A', 'G2E3', 'CDKN3', 'CDC25B', 'FAM83D', 'FZR1', 'UBE2S', 'FOXM1', 'CDCA3', 'TTK', 'BRD8', 'KIF20A', 'SMC4', 'ECT2', 'CENPA', 'CDC20', 'STMN1', 'NEK2', 'CENPF', 'KIF14', 'TMPO', 'KIF18A', 'GPSM2', 'CIT', 'CDKN2C', 'HJURP', 'CKS2', 'DLGAP5', 'KNSTRN', 'SGO1', 'TOP2A', 'CCNB1', 'CDCA8', 'TROAP', 'ESPL1', 'CKAP2', 'BORA', 'DCAF7', 'ARHGEF39', 'NUSAP1', 'KIF23', 'KNL1', 'KIF11', 'CEP55', 'KIF20B', 'CENPE', 'PIF1', 'KIF2C', 'NUF2', 'CALM2', 'CCNA2', 'NCAPG2', 'MKI67', 'INCENP', 'SCLT1', 'SPC25', 'BUB1B', 'CCNB2', 'CDC25C', 'RACGAP1', 'SPC24', 'CCNF', 'SGO2', 'KIF15', 'HMGB2', 'PTTG1', 'RAD21', 'FAM111A', 'PLK1', 'TUBA1C', 'PBK', 'CKAP2L', 'BUB1', 'CDK1', 'ARL6IP1', 'CKS1B', 'RNF26', 'UBE2C', 'CKAP5', 'AURKB', 'KPNA2', 'CDCA2', 'KIF18B', 'TUBB4B', 'H2AX', 'ARHGAP11A', 'PRC1', 'MZT1', 'TRIM59', 'ARHGAP19', 'KIFC1', 'ARHGAP11B']</t>
  </si>
  <si>
    <t>CL:30109</t>
  </si>
  <si>
    <t>['SOGA3', 'KIAA0408']</t>
  </si>
  <si>
    <t>mixed, incl. Abl-interactor HHR, and Negative regulation of connective tissue replacement</t>
  </si>
  <si>
    <t>KEGG_CELL_ADHESION_MOLECULES_CAMS</t>
  </si>
  <si>
    <t>['ITGB1', 'NEO1']</t>
  </si>
  <si>
    <t>REACTOME_FORMATION_OF_THE_URETERIC_BUD</t>
  </si>
  <si>
    <t>['SIX1', 'ITGB1']</t>
  </si>
  <si>
    <t>['GDE1', 'SNX24', 'NEO1', 'ARHGAP10', 'EVC', 'MIB1', 'CPPED1', 'ZC2HC1A', 'IL7', 'MIIP', 'GTDC1', 'SIX1', 'TWSG1', 'SYT11', 'TNFRSF11A', 'MAP3K21', 'TRPC1', 'NTRK2', 'ITGB1', 'DST', 'NPTN', 'B4GALT5', 'CITED2', 'KIAA0408', 'MYO5A', 'CDC42BPB', 'SOGA3']</t>
  </si>
  <si>
    <t>['CD86', 'TNFRSF8']</t>
  </si>
  <si>
    <t>KEGG_ANTIGEN_PROCESSING_AND_PRESENTATION</t>
  </si>
  <si>
    <t>['CD74', 'CIITA']</t>
  </si>
  <si>
    <t>REACTOME_DEVELOPMENTAL_LINEAGE_OF_PANCREATIC_DUCTAL_CELLS</t>
  </si>
  <si>
    <t>['CD74', 'CA2']</t>
  </si>
  <si>
    <t>['CD74', 'FSCN1', 'EPB41L2', 'CA2', 'CD86', 'DNAJC6', 'LEPR', 'CCND2', 'TJP2', 'TNFRSF8', 'BATF3', 'TOX2', 'MBD2', 'ENPP2', 'CREG1', 'TSPAN33', 'AHCYL2', 'ADCY1', 'SMCO4', 'MSC', 'CIITA']</t>
  </si>
  <si>
    <t>PDCD4-RICTOR complex</t>
  </si>
  <si>
    <t>['RICTOR', 'PDCD4']</t>
  </si>
  <si>
    <t>CL:29426</t>
  </si>
  <si>
    <t>['EVI2B', 'EVI2A']</t>
  </si>
  <si>
    <t>mixed, incl. ADAP, PH domain 1, and Ectropic viral integration site 2A protein</t>
  </si>
  <si>
    <t>KEGG_VASOPRESSIN_REGULATED_WATER_REABSORPTION</t>
  </si>
  <si>
    <t>['RAB5B', 'VAMP2', 'PRKACB', 'STX4']</t>
  </si>
  <si>
    <t>REACTOME_PEXOPHAGY</t>
  </si>
  <si>
    <t>['ATM', 'SQSTM1', 'UBC', 'NBR1']</t>
  </si>
  <si>
    <t>complex 94</t>
  </si>
  <si>
    <t>['EVI2B', 'CD247', 'EVI2A', 'CD3E']</t>
  </si>
  <si>
    <t>['KMT2E', 'CALCOCO1', 'CCDC28A', 'GRN', 'ARID4A', 'ATOSA', 'ARID4B', 'FAM168A', 'GALC', 'MXD1', 'SLC2A3', 'CASP8', 'ABCA7', 'PPP2R5B', 'AFF4', 'PPP2R5C', 'ITM2A', 'CBFA2T2', 'PSEN1', 'PTPRC', 'FYB1', 'TUT7', 'ATRX', 'YPEL3', 'SH3GLB1', 'PIK3IP1', 'DDX17', 'TOM1', 'ARSA', 'MTMR3', 'TNRC6B', 'EP300', 'ABHD4', 'SOS2', 'MAGED2', 'ARL2BP', 'RBL2', 'STX4', 'BMF', 'TBC1D17', 'DYRK1B', 'HBP1', 'HDAC5', 'PRKAR1A', 'VWA5A', 'HIPK3', 'FBXO3', 'CLEC2B', 'CREBL2', 'CDKN1B', 'RAB5B', 'HCFC2', 'SERINC1', 'SMAP1', 'HECA', 'PHF1', 'LNPEP', 'ATP6V0E1', 'CPEB4', 'CRBN', 'NPHP3', 'ABTB1', 'KLHL24', 'NRBP1', 'AAK1', 'TMEM59', 'S100PBP', 'LGALS8', 'CTBS', 'ESYT2', 'YPEL5', 'WASHC3', 'HERPUD2', 'MXD4', 'IGFLR1', 'EVI2A', 'FGD3', 'MINDY2', 'RAB2B', 'OSBPL2', 'SLC35D2', 'SH3BGRL', 'MGAT1', 'INPP5K', 'WBP2', 'SERINC3', 'PHF21A', 'TSPAN31', 'OS9', 'MICAL1', 'GNS', 'DNAJB2', 'TMBIM1', 'TANK', 'VPS45', 'YIPF3', 'SYTL2', 'DUSP5', 'SENP7', 'HERC3', 'BLTP1', 'CCNG2', 'N4BP2L1', 'LMBR1L', 'WDFY2', 'SLC12A6', 'BCAS3', 'RETREG3', 'KIAA0319L', 'WDTC1', 'PRKACB', 'CD53', 'RIT1', 'ARL8A', 'ARL6IP5', 'PNRC1', 'ATM', 'TMEM219', 'PDCD4', 'UBC', 'PARP8', 'RABGAP1L', 'TGOLN2', 'CD96', 'FBXO32', 'VPS8', 'WIPI2', 'TPRG1L', 'PINK1', 'CDC42SE2', 'BTG2', 'BSDC1', 'PRMT2', 'ZER1', 'ZBTB7B', 'CRTC2', 'SQSTM1', 'EMC10', 'SPSB3', 'LAPTM5', 'NCSTN', 'BROX', 'WDR26', 'PBXIP1', 'SNRK', 'C4orf3', 'RICTOR', 'CREBRF', 'TP53INP1', 'ATP7A', 'MARCHF8', 'ZFYVE1', 'TCP11L2', 'TPP1', 'TK2', 'CCNDBP1', 'SMAD3', 'UBXN6', 'LMBRD1', 'PCMTD1', 'TMUB2', 'GABARAP', 'EMB', 'AKAP13', 'BPTF', 'ZNF217', 'JMJD1C', 'HECTD4', 'ABCD2', 'YPEL2', 'POLD4', 'RAB6A', 'TOM1L2', 'ORAI3', 'ULK1', 'FAM219B', 'SGSH', 'MOB2', 'TENT5C', 'TMEM50A', 'MED12', 'LRRC37B', 'EVI2B', 'UBE2H', 'ARAP1', 'NBR1', 'PTPN1', 'BORCS6', 'LRP10', 'SPTAN1', 'PSAP', 'OGA', 'CD247', 'CD3E', 'PJA2', 'ATF6B', 'ZSWIM8', 'GOLGA8B', 'CCDC7', 'RNASEK', 'VAMP2', 'PATL2', 'B3GALT4', 'ZBTB22', 'WBP1', 'NATD1', 'SYNRG']</t>
  </si>
  <si>
    <t>ING5 (BRPF2, MOZ, MORF) complex</t>
  </si>
  <si>
    <t>['KAT6A', 'KAT6B', 'BRD1']</t>
  </si>
  <si>
    <t>CL:5615</t>
  </si>
  <si>
    <t>['KDM3A', 'ARID5B', 'KDM4B', 'KDM2A']</t>
  </si>
  <si>
    <t>Histone H3-K9 demethylation, and Lysine-specific demethylase 6, GATA-like domain superfamily</t>
  </si>
  <si>
    <t>KEGG_SNARE_INTERACTIONS_IN_VESICULAR_TRANSPORT</t>
  </si>
  <si>
    <t>['STX6', 'STX16']</t>
  </si>
  <si>
    <t>REACTOME_FOXO_MEDIATED_TRANSCRIPTION_OF_CELL_DEATH_GENES</t>
  </si>
  <si>
    <t>['FOXO3', 'CREBBP', 'BCL6']</t>
  </si>
  <si>
    <t>complex 4173</t>
  </si>
  <si>
    <t>['ING4', 'EPC1', 'KAT6A', 'BRD1', 'EPC2']</t>
  </si>
  <si>
    <t>['RBM5', 'RBM6', 'CREBBP', 'FBXL3', 'BTBD7', 'CLK1', 'UBR2', 'RSF1', 'TTC17', 'KMT2C', 'GPBP1', 'KLF6', 'MEF2A', 'NSF', 'ZNF638', 'USP33', 'PIK3C3', 'CCNT2', 'TRAF5', 'KAT6A', 'REST', 'MYNN', 'ITPKC', 'KIZ', 'ZBTB25', 'GPATCH2L', 'MAST3', 'BRD1', 'KHNYN', 'PPM1A', 'STK4', 'RIOK3', 'XIAP', 'TMEM87A', 'SPG11', 'BNIP3L', 'TAX1BP1', 'ZKSCAN1', 'GLCCI1', 'FBXW4', 'EZH1', 'PHF12', 'CHIC2', 'FNBP4', 'KMT5B', 'DDX6', 'ING4', 'CEP85L', 'CLK4', 'ITK', 'ARRDC3', 'TRIM23', 'BCL6', 'CBLB', 'NKTR', 'INO80D', 'ACVR1', 'CLIP4', 'USP34', 'KDM3A', 'BIRC6', 'RAB3GAP1', 'ASH1L', 'MEF2D', 'RLF', 'ETV3', 'RSRP1', 'RCOR3', 'PHF3', 'RNF146', 'FBXL5', 'FOXO3', 'YIPF4', 'MXI1', 'WDR11', 'ARMH3', 'KANSL1', 'EPC1', 'PAIP2', 'CRY2', 'PILRB', 'ZMYM2', 'TBC1D15', 'ACVR2A', 'MTERF4', 'MED13L', 'PFDN5', 'ZNFX1', 'STX16', 'USP9X', 'RREB1', 'GPCPD1', 'ATG14', 'ZBTB1', 'ZNF484', 'PPCS', 'UBR4', 'KDM4B', 'AKAP9', 'MKLN1', 'LATS1', 'NINJ1', 'VPS13B', 'ZMYM5', 'BTG1', 'ZFC3H1', 'CDC73', 'DMTF1', 'PCNX2', 'STX6', 'GCC2', 'EPC2', 'MARCHF7', 'PARP6', 'FBXO11', 'CNOT6L', 'MAPK8IP3', 'DCAF5', 'PGGHG', 'GATAD2B', 'ITPKB', 'MARCHF6', 'FAM193B', 'TMEM168', 'KDM6A', 'OGT', 'HMBOX1', 'HERC4', 'ARID5B', 'NBAS', 'JMY', 'ZFP36L2', 'ABCA5', 'USP25', 'CNOT8', 'BACH1', 'ZFAND3', 'KAT6B', 'SMG1', 'TSC22D3', 'MORC3', 'TAOK1', 'MYSM1', 'TIPARP', 'CCNL1', 'TTC14', 'ZC3H12A', 'UBXN7', 'NIPBL', 'BMT2', 'BRWD3', 'KLHDC2', 'FRS2', 'BORCS7', 'ANAPC16', 'ATP9B', 'TERF2IP', 'LENG8', 'STAT3', 'TET2', 'CEP120', 'TAPT1', 'WIPF2', 'ATF7IP', 'BCL2', 'ZNF24', 'AFF1', 'KDM2A', 'TNKS', 'TNFRSF10D', 'CHD2', 'CD7', 'PHC3', 'MSL2', 'GPR171', 'VCPIP1', 'C11orf68', 'PLEKHF2', 'ZBTB41', 'ZHX2', 'KLHL28', 'IST1', 'KIAA2026', 'PLA2G6', 'RBM33', 'NSMCE3', 'BRWD1', 'ZNF397', 'ZDHHC17', 'PTAR1', 'ZNF292', 'TSPYL1', 'HELZ', 'MDM4', 'SLC5A3', 'LRIG2', 'CHIC1', 'ZDBF2', 'ZNF805', 'TRIM13', 'DDX3X', 'TMEM167B', 'TSTD1', 'ACAD11', 'N4BP2L2', 'BCKDHA', 'KMT2B']</t>
  </si>
  <si>
    <t>['RHOC', 'CORO1B']</t>
  </si>
  <si>
    <t>REACTOME_RHO_GTPASES_ACTIVATE_CIT</t>
  </si>
  <si>
    <t>['RHOC', 'DLG4']</t>
  </si>
  <si>
    <t>complex 13661</t>
  </si>
  <si>
    <t>['DVL3', 'DLG4']</t>
  </si>
  <si>
    <t>['SPATA20', 'CARMIL1', 'AACS', 'EBF4', 'SLC22A17', 'CTSZ', 'MGRN1', 'APLP1', 'MDK', 'ATN1', 'RTN2', 'GLIS2', 'CCDC136', 'DLG4', 'IAH1', 'SERPINH1', 'RHOC', 'DMTN', 'DVL3', 'ZNF219', 'LTBP3', 'AGPAT2', 'CORO1B', 'VSIG10', 'H1-0', 'SRC', 'MYO1C', 'ZNF358', 'CYFIP1']</t>
  </si>
  <si>
    <t>CL:16999</t>
  </si>
  <si>
    <t>['PLAC8', 'IFITM2', 'SP110', 'IFITM3']</t>
  </si>
  <si>
    <t>mixed, incl. Interferon alpha/beta signaling, and Aicardi-Goutieres syndrome</t>
  </si>
  <si>
    <t>KEGG_TIGHT_JUNCTION</t>
  </si>
  <si>
    <t>['EPB41', 'PATJ']</t>
  </si>
  <si>
    <t>['IFITM1', 'IFITM2', 'IFITM3']</t>
  </si>
  <si>
    <t>complex 6618</t>
  </si>
  <si>
    <t>['IFITM1', 'IFITM3']</t>
  </si>
  <si>
    <t>['MGAT4A', 'SEC31B', 'IGSF9B', 'DOCK9', 'PITPNM2', 'IL27RA', 'TMEM106B', 'KDM4C', 'CCSER2', 'PARP11', 'CISH', 'RCAN3', 'TMEM131L', 'PLCG1', 'RAB11FIP4', 'RAMP1', 'PATJ', 'SP110', 'IL11RA', 'RNF157', 'IFITM3', 'PLAC8', 'RNF144A', 'RETREG1', 'TNIK', 'EPB41', 'GPR155', 'EEIG1', 'TTC39C', 'PWWP2B', 'PCGF5', 'UBE2F', 'ANO9', 'IFITM2', 'SP140L', 'PDE6G', 'IFITM1', 'RALGAPA2', 'GALT']</t>
  </si>
  <si>
    <t>CL:16550</t>
  </si>
  <si>
    <t>['THEMIS2', 'ARHGAP25', 'TBC1D10C']</t>
  </si>
  <si>
    <t>mostly uncharacterized, incl. Protein THEMIS, and Congenital disorder of glycosylation Ig</t>
  </si>
  <si>
    <t>['HCLS1', 'WAS']</t>
  </si>
  <si>
    <t>REACTOME_FLT3_SIGNALING_THROUGH_SRC_FAMILY_KINASES</t>
  </si>
  <si>
    <t>['FLT3LG', 'LCK']</t>
  </si>
  <si>
    <t>complex 11443</t>
  </si>
  <si>
    <t>['TMC8', 'TMC6']</t>
  </si>
  <si>
    <t>['IL32', 'WAS', 'DEF6', 'CYBA', 'CYFIP2', 'LPAR2', 'PRKCQ', 'RASGRP2', 'STK10', 'ICAM3', 'ARHGEF1', 'LRCH4', 'PTPN4', 'FXYD5', 'FLT3LG', 'MKNK2', 'SAMHD1', 'RNF125', 'TRADD', 'MAN2B1', 'TLE5', 'PRKD2', 'RGP1', 'TSPAN14', 'CYTH1', 'TCIRG1', 'SELPLG', 'BIN2', 'SLC12A7', 'KAT2B', 'PDLIM2', 'NCKAP1L', 'S1PR4', 'NECAB3', 'KLF2', 'SLC44A2', 'RIPK3', 'PGAP6', 'THEMIS2', 'RCBTB2', 'LIMD2', 'SIT1', 'PIM1', 'PLCB2', 'LPAR6', 'TMC6', 'IQSEC1', 'ADD3', 'SUSD3', 'RNF166', 'ARHGAP25', 'TC2N', 'TMC8', 'KLF13', 'MAL', 'RASGRP1', 'TBC1D10C', 'SEPTIN1', 'HCLS1', 'ARHGAP45', 'LCK', 'SEPTIN9', 'SIGIRR', 'SNAI3', 'C16orf54', 'BCL9L', 'ARL4C', 'CDC42SE1', 'CCDC69', 'ZNF652', 'RCSD1', 'DENND1C']</t>
  </si>
  <si>
    <t>CL:8027</t>
  </si>
  <si>
    <t>['ANKRD44', 'MINK1']</t>
  </si>
  <si>
    <t>mixed, incl. Magnesium-dependent protein serine/threonine phosphatase complex, and Calcipressin</t>
  </si>
  <si>
    <t>['ARHGAP15', 'DOCK11']</t>
  </si>
  <si>
    <t>['ANKRD44', 'ACAP1', 'ARHGAP15', 'CDC14A', 'NLRP1', 'SUN2', 'AK1', 'STK38', 'MINK1', 'SYTL1', 'DOCK11', 'ST6GALNAC6', 'TMEM63A']</t>
  </si>
  <si>
    <t>AKAP5-PPP3CA-PRKAR2A complex</t>
  </si>
  <si>
    <t>['AKAP5', 'PPP3CA']</t>
  </si>
  <si>
    <t>CL:24724</t>
  </si>
  <si>
    <t>['GPR68', 'GPR132']</t>
  </si>
  <si>
    <t>mixed, incl. G protein-coupled receptor 3/6/12 orphan, and Positive regulation of osteoclast development</t>
  </si>
  <si>
    <t>KEGG_O_GLYCAN_BIOSYNTHESIS</t>
  </si>
  <si>
    <t>['ST3GAL2', 'GALNT4']</t>
  </si>
  <si>
    <t>REACTOME_SYNTHESIS_OF_BILE_ACIDS_AND_BILE_SALTS_VIA_27_HYDROXYCHOLESTEROL</t>
  </si>
  <si>
    <t>['NCOA2', 'HSD3B7']</t>
  </si>
  <si>
    <t>complex 2210</t>
  </si>
  <si>
    <t>['F2R', 'CD63']</t>
  </si>
  <si>
    <t>['LAMP2', 'IDS', 'PPP1R12A', 'ACADVL', 'SSH1', 'RGS1', 'RFFL', 'HSD3B7', 'BCL7C', 'PARP4', 'DENND3', 'TYK2', 'WNT5B', 'ST8SIA4', 'CD58', 'STBD1', 'GPR68', 'CLU', 'SCPEP1', 'ANXA11', 'SLC12A4', 'BTN2A2', 'KLC1', 'MPST', 'TST', 'PIAS3', 'CD63', 'MTCH1', 'PPP3CA', 'GLIPR1', 'POC1B', 'NCOA2', 'SCAMP2', 'PCTP', 'EVA1B', 'NME7', 'RFX5', 'PI4KB', 'ATP10D', 'ARHGAP18', 'PRDM8', 'ST3GAL2', 'ARHGAP35', 'ITGA2', 'INPPL1', 'TSC22D4', 'CHST11', 'NINJ2', 'SLFN12', 'GPR137', 'EHBP1L1', 'ODAPH', 'LINC02694', 'SLC35E3', 'RNPEP', 'FAM89B', 'NECTIN3', 'AKAP5', 'F2R', 'SLC9A9', 'RELL1', 'EXT1', 'GPR132', 'TBK1', 'IL3RA', 'NTNG2', 'ILRUN', 'KIF13B', 'TCAF1', 'C6orf89', 'DMD', 'GALNT4']</t>
  </si>
  <si>
    <t>CL:15532</t>
  </si>
  <si>
    <t>['IL2RB', 'GNLY']</t>
  </si>
  <si>
    <t>Cytokine-cytokine receptor interaction, and Immunoregulatory interactions between a Lymphoid and a non-Lymphoid cell</t>
  </si>
  <si>
    <t>REACTOME_CYTOKINE_SIGNALING_IN_IMMUNE_SYSTEM</t>
  </si>
  <si>
    <t>['BIRC3', 'IL2RB']</t>
  </si>
  <si>
    <t>['RTF2', 'GRAMD1B', 'BIRC3', 'FUT8', 'CASS4', 'IL2RB', 'PPFIBP1', 'GNLY', 'TCTN3', 'ENTPD1', 'ADGRG5']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</si>
</sst>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3AF3-9F2B-924F-843C-4B885B17AC02}">
  <dimension ref="A1:AO54"/>
  <sheetViews>
    <sheetView tabSelected="1" topLeftCell="A6" workbookViewId="0">
      <pane xSplit="1" topLeftCell="U1" activePane="topRight" state="frozen"/>
      <selection pane="topRight" activeCell="A47" sqref="A47:XFD47"/>
    </sheetView>
  </sheetViews>
  <sheetFormatPr baseColWidth="10" defaultRowHeight="16" x14ac:dyDescent="0.2"/>
  <cols>
    <col min="5" max="5" width="18" bestFit="1" customWidth="1"/>
    <col min="16" max="16" width="46.5" customWidth="1"/>
    <col min="17" max="17" width="18.83203125" customWidth="1"/>
    <col min="31" max="31" width="13.83203125" bestFit="1" customWidth="1"/>
    <col min="32" max="32" width="69.83203125" bestFit="1" customWidth="1"/>
    <col min="34" max="34" width="17.66406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0</v>
      </c>
      <c r="B2" t="s">
        <v>41</v>
      </c>
      <c r="C2" t="s">
        <v>42</v>
      </c>
      <c r="D2">
        <v>6.0606060606060601E-2</v>
      </c>
      <c r="E2">
        <v>1.04920576316008E-4</v>
      </c>
      <c r="F2">
        <v>2</v>
      </c>
      <c r="G2">
        <v>2</v>
      </c>
      <c r="H2">
        <v>33</v>
      </c>
      <c r="I2" t="s">
        <v>43</v>
      </c>
      <c r="J2" t="s">
        <v>44</v>
      </c>
      <c r="K2">
        <v>0.45454545454545398</v>
      </c>
      <c r="L2" s="1">
        <v>6.9218406180731794E-27</v>
      </c>
      <c r="M2">
        <v>22</v>
      </c>
      <c r="N2">
        <v>15</v>
      </c>
      <c r="O2">
        <v>33</v>
      </c>
      <c r="P2" t="s">
        <v>45</v>
      </c>
      <c r="Q2" t="s">
        <v>46</v>
      </c>
      <c r="R2" t="s">
        <v>47</v>
      </c>
      <c r="S2">
        <v>0.30303030303030298</v>
      </c>
      <c r="T2" s="1">
        <v>6.1143956020367505E-17</v>
      </c>
      <c r="U2">
        <v>17</v>
      </c>
      <c r="V2">
        <v>10</v>
      </c>
      <c r="W2">
        <v>33</v>
      </c>
      <c r="X2" t="s">
        <v>48</v>
      </c>
      <c r="Y2" t="s">
        <v>49</v>
      </c>
      <c r="Z2">
        <v>0.57575757575757502</v>
      </c>
      <c r="AA2" s="1">
        <v>6.6906363651219095E-35</v>
      </c>
      <c r="AB2">
        <v>27</v>
      </c>
      <c r="AC2">
        <v>19</v>
      </c>
      <c r="AD2">
        <v>33</v>
      </c>
      <c r="AE2" t="s">
        <v>50</v>
      </c>
      <c r="AF2" t="s">
        <v>51</v>
      </c>
      <c r="AG2">
        <v>9.0909090909090898E-2</v>
      </c>
      <c r="AH2" s="1">
        <v>1.0112063078581499E-5</v>
      </c>
      <c r="AI2">
        <v>5</v>
      </c>
      <c r="AJ2">
        <v>3</v>
      </c>
      <c r="AK2">
        <v>33</v>
      </c>
      <c r="AL2">
        <v>0.38892252109556302</v>
      </c>
      <c r="AM2">
        <v>33</v>
      </c>
      <c r="AN2" t="s">
        <v>52</v>
      </c>
    </row>
    <row r="3" spans="1:41" x14ac:dyDescent="0.2">
      <c r="A3">
        <v>1</v>
      </c>
      <c r="I3" t="s">
        <v>53</v>
      </c>
      <c r="J3" t="s">
        <v>54</v>
      </c>
      <c r="K3">
        <v>0.105263157894736</v>
      </c>
      <c r="L3">
        <v>1.60624321794074E-2</v>
      </c>
      <c r="M3">
        <v>33</v>
      </c>
      <c r="N3">
        <v>2</v>
      </c>
      <c r="O3">
        <v>19</v>
      </c>
      <c r="P3" t="s">
        <v>55</v>
      </c>
      <c r="Q3" t="s">
        <v>56</v>
      </c>
      <c r="R3" t="s">
        <v>57</v>
      </c>
      <c r="S3">
        <v>0.105263157894736</v>
      </c>
      <c r="T3">
        <v>0.36803579284948401</v>
      </c>
      <c r="U3">
        <v>213</v>
      </c>
      <c r="V3">
        <v>2</v>
      </c>
      <c r="W3">
        <v>19</v>
      </c>
      <c r="X3" t="s">
        <v>58</v>
      </c>
      <c r="Y3" t="s">
        <v>54</v>
      </c>
      <c r="Z3">
        <v>0.105263157894736</v>
      </c>
      <c r="AA3">
        <v>8.8560402322948498E-2</v>
      </c>
      <c r="AB3">
        <v>84</v>
      </c>
      <c r="AC3">
        <v>2</v>
      </c>
      <c r="AD3">
        <v>19</v>
      </c>
      <c r="AL3">
        <v>0.248374092033568</v>
      </c>
      <c r="AM3">
        <v>19</v>
      </c>
      <c r="AN3" t="s">
        <v>59</v>
      </c>
    </row>
    <row r="4" spans="1:41" x14ac:dyDescent="0.2">
      <c r="A4">
        <v>2</v>
      </c>
      <c r="B4" t="s">
        <v>60</v>
      </c>
      <c r="C4" t="s">
        <v>61</v>
      </c>
      <c r="D4">
        <v>0.1</v>
      </c>
      <c r="E4">
        <v>1.0333908524996101E-3</v>
      </c>
      <c r="F4">
        <v>8</v>
      </c>
      <c r="G4">
        <v>2</v>
      </c>
      <c r="H4">
        <v>20</v>
      </c>
      <c r="I4" t="s">
        <v>62</v>
      </c>
      <c r="J4" t="s">
        <v>63</v>
      </c>
      <c r="K4">
        <v>0.35</v>
      </c>
      <c r="L4" s="1">
        <v>5.0613767468563296E-6</v>
      </c>
      <c r="M4">
        <v>121</v>
      </c>
      <c r="N4">
        <v>7</v>
      </c>
      <c r="O4">
        <v>20</v>
      </c>
      <c r="P4" t="s">
        <v>64</v>
      </c>
      <c r="X4" t="s">
        <v>65</v>
      </c>
      <c r="Y4" t="s">
        <v>66</v>
      </c>
      <c r="Z4">
        <v>0.25</v>
      </c>
      <c r="AA4" s="1">
        <v>2.5475669586475702E-5</v>
      </c>
      <c r="AB4">
        <v>60</v>
      </c>
      <c r="AC4">
        <v>5</v>
      </c>
      <c r="AD4">
        <v>20</v>
      </c>
      <c r="AE4" t="s">
        <v>67</v>
      </c>
      <c r="AF4" t="s">
        <v>68</v>
      </c>
      <c r="AG4">
        <v>0.15</v>
      </c>
      <c r="AH4">
        <v>2.28145100712336E-4</v>
      </c>
      <c r="AI4">
        <v>20</v>
      </c>
      <c r="AJ4">
        <v>3</v>
      </c>
      <c r="AK4">
        <v>20</v>
      </c>
      <c r="AL4">
        <v>0.447186918230847</v>
      </c>
      <c r="AM4">
        <v>20</v>
      </c>
      <c r="AN4" t="s">
        <v>69</v>
      </c>
    </row>
    <row r="5" spans="1:41" x14ac:dyDescent="0.2">
      <c r="A5">
        <v>3</v>
      </c>
      <c r="I5" t="s">
        <v>70</v>
      </c>
      <c r="J5" t="s">
        <v>71</v>
      </c>
      <c r="K5">
        <v>0.54761904761904701</v>
      </c>
      <c r="L5" s="1">
        <v>1.4060474114954099E-36</v>
      </c>
      <c r="M5">
        <v>186</v>
      </c>
      <c r="N5">
        <v>46</v>
      </c>
      <c r="O5">
        <v>84</v>
      </c>
      <c r="P5" t="s">
        <v>72</v>
      </c>
      <c r="X5" t="s">
        <v>73</v>
      </c>
      <c r="Y5" t="s">
        <v>74</v>
      </c>
      <c r="Z5">
        <v>0.71428571428571397</v>
      </c>
      <c r="AA5" s="1">
        <v>1.19169273611635E-7</v>
      </c>
      <c r="AB5">
        <v>1374</v>
      </c>
      <c r="AC5">
        <v>60</v>
      </c>
      <c r="AD5">
        <v>84</v>
      </c>
      <c r="AE5" t="s">
        <v>75</v>
      </c>
      <c r="AF5" t="s">
        <v>76</v>
      </c>
      <c r="AG5">
        <v>9.5238095238095205E-2</v>
      </c>
      <c r="AH5" s="1">
        <v>8.7055685672185695E-5</v>
      </c>
      <c r="AI5">
        <v>56</v>
      </c>
      <c r="AJ5">
        <v>8</v>
      </c>
      <c r="AK5">
        <v>84</v>
      </c>
      <c r="AL5">
        <v>0.23786174820570299</v>
      </c>
      <c r="AM5">
        <v>84</v>
      </c>
      <c r="AN5" t="s">
        <v>77</v>
      </c>
    </row>
    <row r="6" spans="1:41" x14ac:dyDescent="0.2">
      <c r="A6">
        <v>4</v>
      </c>
      <c r="B6" t="s">
        <v>78</v>
      </c>
      <c r="C6" t="s">
        <v>79</v>
      </c>
      <c r="D6">
        <v>4.9382716049382699E-2</v>
      </c>
      <c r="E6">
        <v>1.1354805578781E-4</v>
      </c>
      <c r="F6">
        <v>11</v>
      </c>
      <c r="G6">
        <v>4</v>
      </c>
      <c r="H6">
        <v>81</v>
      </c>
      <c r="I6" t="s">
        <v>80</v>
      </c>
      <c r="J6" t="s">
        <v>81</v>
      </c>
      <c r="K6">
        <v>7.4074074074074001E-2</v>
      </c>
      <c r="L6" s="1">
        <v>2.3005668111644399E-10</v>
      </c>
      <c r="M6">
        <v>6</v>
      </c>
      <c r="N6">
        <v>6</v>
      </c>
      <c r="O6">
        <v>81</v>
      </c>
      <c r="P6" t="s">
        <v>82</v>
      </c>
      <c r="Q6" t="s">
        <v>83</v>
      </c>
      <c r="R6" t="s">
        <v>84</v>
      </c>
      <c r="S6">
        <v>0.11111111111111099</v>
      </c>
      <c r="T6" s="1">
        <v>5.3031110168840905E-7</v>
      </c>
      <c r="U6">
        <v>41</v>
      </c>
      <c r="V6">
        <v>9</v>
      </c>
      <c r="W6">
        <v>81</v>
      </c>
      <c r="X6" t="s">
        <v>85</v>
      </c>
      <c r="Y6" t="s">
        <v>86</v>
      </c>
      <c r="Z6">
        <v>0.11111111111111099</v>
      </c>
      <c r="AA6" s="1">
        <v>1.29834681982772E-11</v>
      </c>
      <c r="AB6">
        <v>15</v>
      </c>
      <c r="AC6">
        <v>9</v>
      </c>
      <c r="AD6">
        <v>81</v>
      </c>
      <c r="AE6" t="s">
        <v>87</v>
      </c>
      <c r="AF6" t="s">
        <v>88</v>
      </c>
      <c r="AG6">
        <v>6.1728395061728301E-2</v>
      </c>
      <c r="AH6" s="1">
        <v>2.18466086172207E-6</v>
      </c>
      <c r="AI6">
        <v>10</v>
      </c>
      <c r="AJ6">
        <v>5</v>
      </c>
      <c r="AK6">
        <v>81</v>
      </c>
      <c r="AL6">
        <v>0.341703249861733</v>
      </c>
      <c r="AM6">
        <v>81</v>
      </c>
      <c r="AN6" t="s">
        <v>89</v>
      </c>
    </row>
    <row r="7" spans="1:41" x14ac:dyDescent="0.2">
      <c r="A7">
        <v>5</v>
      </c>
      <c r="B7" t="s">
        <v>90</v>
      </c>
      <c r="C7" t="s">
        <v>91</v>
      </c>
      <c r="D7">
        <v>4.54545454545454E-2</v>
      </c>
      <c r="E7" s="1">
        <v>3.1428242742832102E-9</v>
      </c>
      <c r="F7">
        <v>10</v>
      </c>
      <c r="G7">
        <v>8</v>
      </c>
      <c r="H7">
        <v>176</v>
      </c>
      <c r="I7" t="s">
        <v>92</v>
      </c>
      <c r="J7" t="s">
        <v>93</v>
      </c>
      <c r="K7">
        <v>0.27840909090909</v>
      </c>
      <c r="L7" s="1">
        <v>1.03040912354718E-43</v>
      </c>
      <c r="M7">
        <v>80</v>
      </c>
      <c r="N7">
        <v>49</v>
      </c>
      <c r="O7">
        <v>176</v>
      </c>
      <c r="P7" t="s">
        <v>94</v>
      </c>
      <c r="Q7" t="s">
        <v>95</v>
      </c>
      <c r="R7" t="s">
        <v>96</v>
      </c>
      <c r="S7">
        <v>6.25E-2</v>
      </c>
      <c r="T7" s="1">
        <v>1.49335274438761E-8</v>
      </c>
      <c r="U7">
        <v>24</v>
      </c>
      <c r="V7">
        <v>11</v>
      </c>
      <c r="W7">
        <v>176</v>
      </c>
      <c r="X7" t="s">
        <v>97</v>
      </c>
      <c r="Y7" t="s">
        <v>98</v>
      </c>
      <c r="Z7">
        <v>0.34659090909090901</v>
      </c>
      <c r="AA7" s="1">
        <v>9.9624712965629107E-21</v>
      </c>
      <c r="AB7">
        <v>312</v>
      </c>
      <c r="AC7">
        <v>61</v>
      </c>
      <c r="AD7">
        <v>176</v>
      </c>
      <c r="AE7" t="s">
        <v>99</v>
      </c>
      <c r="AF7" t="s">
        <v>100</v>
      </c>
      <c r="AG7">
        <v>4.54545454545454E-2</v>
      </c>
      <c r="AH7" s="1">
        <v>3.1388363734531999E-8</v>
      </c>
      <c r="AI7">
        <v>12</v>
      </c>
      <c r="AJ7">
        <v>8</v>
      </c>
      <c r="AK7">
        <v>176</v>
      </c>
      <c r="AL7">
        <v>0.25113886108771499</v>
      </c>
      <c r="AM7">
        <v>176</v>
      </c>
      <c r="AN7" t="s">
        <v>101</v>
      </c>
    </row>
    <row r="8" spans="1:41" x14ac:dyDescent="0.2">
      <c r="A8">
        <v>6</v>
      </c>
      <c r="B8" t="s">
        <v>102</v>
      </c>
      <c r="C8" t="s">
        <v>103</v>
      </c>
      <c r="D8">
        <v>0.05</v>
      </c>
      <c r="E8">
        <v>1.5131389890788299E-3</v>
      </c>
      <c r="F8">
        <v>5</v>
      </c>
      <c r="G8">
        <v>2</v>
      </c>
      <c r="H8">
        <v>40</v>
      </c>
      <c r="I8" t="s">
        <v>104</v>
      </c>
      <c r="J8" t="s">
        <v>105</v>
      </c>
      <c r="K8">
        <v>0.1</v>
      </c>
      <c r="L8" s="1">
        <v>1.0741284963451299E-7</v>
      </c>
      <c r="M8">
        <v>5</v>
      </c>
      <c r="N8">
        <v>4</v>
      </c>
      <c r="O8">
        <v>40</v>
      </c>
      <c r="P8" t="s">
        <v>106</v>
      </c>
      <c r="Q8" t="s">
        <v>107</v>
      </c>
      <c r="R8" t="s">
        <v>108</v>
      </c>
      <c r="S8">
        <v>0.32500000000000001</v>
      </c>
      <c r="T8" s="1">
        <v>4.6897739421746801E-13</v>
      </c>
      <c r="U8">
        <v>68</v>
      </c>
      <c r="V8">
        <v>13</v>
      </c>
      <c r="W8">
        <v>40</v>
      </c>
      <c r="X8" t="s">
        <v>109</v>
      </c>
      <c r="Y8" t="s">
        <v>110</v>
      </c>
      <c r="Z8">
        <v>0.375</v>
      </c>
      <c r="AA8" s="1">
        <v>1.3893562254111E-5</v>
      </c>
      <c r="AB8">
        <v>360</v>
      </c>
      <c r="AC8">
        <v>15</v>
      </c>
      <c r="AD8">
        <v>40</v>
      </c>
      <c r="AE8" t="s">
        <v>111</v>
      </c>
      <c r="AF8" t="s">
        <v>112</v>
      </c>
      <c r="AG8">
        <v>0.05</v>
      </c>
      <c r="AH8">
        <v>4.6127408987070898E-4</v>
      </c>
      <c r="AI8">
        <v>3</v>
      </c>
      <c r="AJ8">
        <v>2</v>
      </c>
      <c r="AK8">
        <v>40</v>
      </c>
      <c r="AL8">
        <v>0.35361113851204801</v>
      </c>
      <c r="AM8">
        <v>40</v>
      </c>
      <c r="AN8" t="s">
        <v>113</v>
      </c>
    </row>
    <row r="9" spans="1:41" x14ac:dyDescent="0.2">
      <c r="A9">
        <v>7</v>
      </c>
      <c r="B9" t="s">
        <v>114</v>
      </c>
      <c r="C9" t="s">
        <v>115</v>
      </c>
      <c r="D9">
        <v>0.13888888888888801</v>
      </c>
      <c r="E9" s="1">
        <v>1.05526929555714E-7</v>
      </c>
      <c r="F9">
        <v>12</v>
      </c>
      <c r="G9">
        <v>5</v>
      </c>
      <c r="H9">
        <v>36</v>
      </c>
      <c r="I9" t="s">
        <v>116</v>
      </c>
      <c r="J9" t="s">
        <v>117</v>
      </c>
      <c r="K9">
        <v>0.22222222222222199</v>
      </c>
      <c r="L9" s="1">
        <v>1.31668492059322E-8</v>
      </c>
      <c r="M9">
        <v>43</v>
      </c>
      <c r="N9">
        <v>8</v>
      </c>
      <c r="O9">
        <v>36</v>
      </c>
      <c r="P9" t="s">
        <v>118</v>
      </c>
      <c r="Q9" t="s">
        <v>119</v>
      </c>
      <c r="R9" t="s">
        <v>120</v>
      </c>
      <c r="S9">
        <v>0.11111111111111099</v>
      </c>
      <c r="T9">
        <v>1.1452682993985599E-2</v>
      </c>
      <c r="U9">
        <v>79</v>
      </c>
      <c r="V9">
        <v>4</v>
      </c>
      <c r="W9">
        <v>36</v>
      </c>
      <c r="X9" t="s">
        <v>121</v>
      </c>
      <c r="Y9" t="s">
        <v>122</v>
      </c>
      <c r="Z9">
        <v>0.194444444444444</v>
      </c>
      <c r="AA9" s="1">
        <v>3.2919900261374298E-6</v>
      </c>
      <c r="AB9">
        <v>60</v>
      </c>
      <c r="AC9">
        <v>7</v>
      </c>
      <c r="AD9">
        <v>36</v>
      </c>
      <c r="AE9" t="s">
        <v>123</v>
      </c>
      <c r="AF9" t="s">
        <v>124</v>
      </c>
      <c r="AG9">
        <v>0.11111111111111099</v>
      </c>
      <c r="AH9" s="1">
        <v>2.7950690412668302E-6</v>
      </c>
      <c r="AI9">
        <v>10</v>
      </c>
      <c r="AJ9">
        <v>4</v>
      </c>
      <c r="AK9">
        <v>36</v>
      </c>
      <c r="AL9">
        <v>0.25109108865159202</v>
      </c>
      <c r="AM9">
        <v>36</v>
      </c>
      <c r="AN9" t="s">
        <v>125</v>
      </c>
    </row>
    <row r="10" spans="1:41" x14ac:dyDescent="0.2">
      <c r="A10">
        <v>8</v>
      </c>
      <c r="I10" t="s">
        <v>126</v>
      </c>
      <c r="J10" t="s">
        <v>127</v>
      </c>
      <c r="K10">
        <v>0.52631578947368396</v>
      </c>
      <c r="L10" s="1">
        <v>7.8505325606501401E-6</v>
      </c>
      <c r="M10">
        <v>346</v>
      </c>
      <c r="N10">
        <v>10</v>
      </c>
      <c r="O10">
        <v>19</v>
      </c>
      <c r="P10" t="s">
        <v>128</v>
      </c>
      <c r="Q10" t="s">
        <v>129</v>
      </c>
      <c r="R10" t="s">
        <v>130</v>
      </c>
      <c r="S10">
        <v>0.42105263157894701</v>
      </c>
      <c r="T10" s="1">
        <v>6.94579323387037E-5</v>
      </c>
      <c r="U10">
        <v>264</v>
      </c>
      <c r="V10">
        <v>8</v>
      </c>
      <c r="W10">
        <v>19</v>
      </c>
      <c r="X10" t="s">
        <v>131</v>
      </c>
      <c r="Y10" t="s">
        <v>132</v>
      </c>
      <c r="Z10">
        <v>0.26315789473684198</v>
      </c>
      <c r="AA10">
        <v>3.7599618144333803E-4</v>
      </c>
      <c r="AB10">
        <v>111</v>
      </c>
      <c r="AC10">
        <v>5</v>
      </c>
      <c r="AD10">
        <v>19</v>
      </c>
      <c r="AE10" t="s">
        <v>133</v>
      </c>
      <c r="AF10" t="s">
        <v>134</v>
      </c>
      <c r="AG10">
        <v>0.105263157894736</v>
      </c>
      <c r="AH10">
        <v>7.0092346489230098E-4</v>
      </c>
      <c r="AI10">
        <v>7</v>
      </c>
      <c r="AJ10">
        <v>2</v>
      </c>
      <c r="AK10">
        <v>19</v>
      </c>
      <c r="AL10">
        <v>0.23407461346817901</v>
      </c>
      <c r="AM10">
        <v>19</v>
      </c>
      <c r="AN10" t="s">
        <v>135</v>
      </c>
    </row>
    <row r="11" spans="1:41" x14ac:dyDescent="0.2">
      <c r="A11">
        <v>9</v>
      </c>
      <c r="I11" t="s">
        <v>136</v>
      </c>
      <c r="J11" t="s">
        <v>137</v>
      </c>
      <c r="K11">
        <v>0.1</v>
      </c>
      <c r="L11">
        <v>0.80311953938429004</v>
      </c>
      <c r="M11">
        <v>454</v>
      </c>
      <c r="N11">
        <v>2</v>
      </c>
      <c r="O11">
        <v>20</v>
      </c>
      <c r="P11" t="s">
        <v>138</v>
      </c>
      <c r="Q11" t="s">
        <v>139</v>
      </c>
      <c r="R11" t="s">
        <v>140</v>
      </c>
      <c r="S11">
        <v>0.1</v>
      </c>
      <c r="T11">
        <v>8.1493610489939097E-2</v>
      </c>
      <c r="U11">
        <v>76</v>
      </c>
      <c r="V11">
        <v>2</v>
      </c>
      <c r="W11">
        <v>20</v>
      </c>
      <c r="X11" t="s">
        <v>141</v>
      </c>
      <c r="Y11" t="s">
        <v>140</v>
      </c>
      <c r="Z11">
        <v>0.1</v>
      </c>
      <c r="AA11">
        <v>0.142411274652019</v>
      </c>
      <c r="AB11">
        <v>106</v>
      </c>
      <c r="AC11">
        <v>2</v>
      </c>
      <c r="AD11">
        <v>20</v>
      </c>
      <c r="AL11">
        <v>0.12331919879205</v>
      </c>
      <c r="AM11">
        <v>20</v>
      </c>
      <c r="AN11" t="s">
        <v>142</v>
      </c>
    </row>
    <row r="12" spans="1:41" x14ac:dyDescent="0.2">
      <c r="A12">
        <v>10</v>
      </c>
      <c r="B12" t="s">
        <v>143</v>
      </c>
      <c r="C12" t="s">
        <v>144</v>
      </c>
      <c r="D12">
        <v>0.01</v>
      </c>
      <c r="E12">
        <v>1.1369347326167E-2</v>
      </c>
      <c r="F12">
        <v>3</v>
      </c>
      <c r="G12">
        <v>2</v>
      </c>
      <c r="H12">
        <v>200</v>
      </c>
      <c r="I12" t="s">
        <v>145</v>
      </c>
      <c r="J12" t="s">
        <v>146</v>
      </c>
      <c r="K12">
        <v>2.5000000000000001E-2</v>
      </c>
      <c r="L12">
        <v>2.4481847315424202E-2</v>
      </c>
      <c r="M12">
        <v>27</v>
      </c>
      <c r="N12">
        <v>5</v>
      </c>
      <c r="O12">
        <v>200</v>
      </c>
      <c r="P12" t="s">
        <v>147</v>
      </c>
      <c r="Q12" t="s">
        <v>148</v>
      </c>
      <c r="R12" t="s">
        <v>149</v>
      </c>
      <c r="S12">
        <v>2.5000000000000001E-2</v>
      </c>
      <c r="T12">
        <v>7.9809651784688407E-2</v>
      </c>
      <c r="U12">
        <v>37</v>
      </c>
      <c r="V12">
        <v>5</v>
      </c>
      <c r="W12">
        <v>200</v>
      </c>
      <c r="X12" t="s">
        <v>150</v>
      </c>
      <c r="Y12" t="s">
        <v>151</v>
      </c>
      <c r="Z12">
        <v>2.5000000000000001E-2</v>
      </c>
      <c r="AA12">
        <v>3.2530989262262798E-2</v>
      </c>
      <c r="AB12">
        <v>29</v>
      </c>
      <c r="AC12">
        <v>5</v>
      </c>
      <c r="AD12">
        <v>200</v>
      </c>
      <c r="AE12" t="s">
        <v>152</v>
      </c>
      <c r="AF12" t="s">
        <v>153</v>
      </c>
      <c r="AG12">
        <v>0.01</v>
      </c>
      <c r="AH12">
        <v>3.9543929331222697E-3</v>
      </c>
      <c r="AI12">
        <v>2</v>
      </c>
      <c r="AJ12">
        <v>2</v>
      </c>
      <c r="AK12">
        <v>200</v>
      </c>
      <c r="AL12">
        <v>0.23251689494701799</v>
      </c>
      <c r="AM12">
        <v>200</v>
      </c>
      <c r="AN12" t="s">
        <v>154</v>
      </c>
    </row>
    <row r="13" spans="1:41" x14ac:dyDescent="0.2">
      <c r="A13">
        <v>11</v>
      </c>
      <c r="B13" t="s">
        <v>155</v>
      </c>
      <c r="C13" t="s">
        <v>156</v>
      </c>
      <c r="D13">
        <v>3.1746031746031703E-2</v>
      </c>
      <c r="E13">
        <v>2.2692208324949299E-3</v>
      </c>
      <c r="F13">
        <v>4</v>
      </c>
      <c r="G13">
        <v>2</v>
      </c>
      <c r="H13">
        <v>63</v>
      </c>
      <c r="I13" t="s">
        <v>157</v>
      </c>
      <c r="J13" t="s">
        <v>158</v>
      </c>
      <c r="K13">
        <v>3.1746031746031703E-2</v>
      </c>
      <c r="L13">
        <v>5.5289768190879898E-3</v>
      </c>
      <c r="M13">
        <v>6</v>
      </c>
      <c r="N13">
        <v>2</v>
      </c>
      <c r="O13">
        <v>63</v>
      </c>
      <c r="P13" t="s">
        <v>159</v>
      </c>
      <c r="Q13" t="s">
        <v>160</v>
      </c>
      <c r="R13" t="s">
        <v>158</v>
      </c>
      <c r="S13">
        <v>3.1746031746031703E-2</v>
      </c>
      <c r="T13">
        <v>6.3975315132924801E-2</v>
      </c>
      <c r="U13">
        <v>21</v>
      </c>
      <c r="V13">
        <v>2</v>
      </c>
      <c r="W13">
        <v>63</v>
      </c>
      <c r="X13" t="s">
        <v>161</v>
      </c>
      <c r="Y13" t="s">
        <v>158</v>
      </c>
      <c r="Z13">
        <v>3.1746031746031703E-2</v>
      </c>
      <c r="AA13">
        <v>1.9016282739274401E-2</v>
      </c>
      <c r="AB13">
        <v>11</v>
      </c>
      <c r="AC13">
        <v>2</v>
      </c>
      <c r="AD13">
        <v>63</v>
      </c>
      <c r="AE13" t="s">
        <v>162</v>
      </c>
      <c r="AF13" t="s">
        <v>163</v>
      </c>
      <c r="AG13">
        <v>3.1746031746031703E-2</v>
      </c>
      <c r="AH13">
        <v>1.1493295867584499E-3</v>
      </c>
      <c r="AI13">
        <v>3</v>
      </c>
      <c r="AJ13">
        <v>2</v>
      </c>
      <c r="AK13">
        <v>63</v>
      </c>
      <c r="AL13">
        <v>0.20357718273748401</v>
      </c>
      <c r="AM13">
        <v>63</v>
      </c>
      <c r="AN13" t="s">
        <v>164</v>
      </c>
    </row>
    <row r="14" spans="1:41" x14ac:dyDescent="0.2">
      <c r="A14">
        <v>12</v>
      </c>
      <c r="I14" t="s">
        <v>165</v>
      </c>
      <c r="J14" t="s">
        <v>166</v>
      </c>
      <c r="K14">
        <v>0.3</v>
      </c>
      <c r="L14" s="1">
        <v>2.6759200345282099E-6</v>
      </c>
      <c r="M14">
        <v>10</v>
      </c>
      <c r="N14">
        <v>3</v>
      </c>
      <c r="O14">
        <v>10</v>
      </c>
      <c r="P14" t="s">
        <v>167</v>
      </c>
      <c r="X14" t="s">
        <v>168</v>
      </c>
      <c r="Y14" t="s">
        <v>166</v>
      </c>
      <c r="Z14">
        <v>0.3</v>
      </c>
      <c r="AA14" s="1">
        <v>4.8895999573258903E-6</v>
      </c>
      <c r="AB14">
        <v>12</v>
      </c>
      <c r="AC14">
        <v>3</v>
      </c>
      <c r="AD14">
        <v>10</v>
      </c>
      <c r="AE14" t="s">
        <v>169</v>
      </c>
      <c r="AF14" t="s">
        <v>166</v>
      </c>
      <c r="AG14">
        <v>0.3</v>
      </c>
      <c r="AH14" s="1">
        <v>2.2559683563259598E-8</v>
      </c>
      <c r="AI14">
        <v>3</v>
      </c>
      <c r="AJ14">
        <v>3</v>
      </c>
      <c r="AK14">
        <v>10</v>
      </c>
      <c r="AL14">
        <v>0.38649370215601703</v>
      </c>
      <c r="AM14">
        <v>10</v>
      </c>
      <c r="AN14" t="s">
        <v>170</v>
      </c>
    </row>
    <row r="15" spans="1:41" x14ac:dyDescent="0.2">
      <c r="A15">
        <v>13</v>
      </c>
      <c r="B15" t="s">
        <v>171</v>
      </c>
      <c r="C15" t="s">
        <v>172</v>
      </c>
      <c r="D15">
        <v>3.1578947368420998E-2</v>
      </c>
      <c r="E15" s="1">
        <v>2.60216550034048E-5</v>
      </c>
      <c r="F15">
        <v>3</v>
      </c>
      <c r="G15">
        <v>3</v>
      </c>
      <c r="H15">
        <v>95</v>
      </c>
      <c r="I15" t="s">
        <v>173</v>
      </c>
      <c r="J15" t="s">
        <v>174</v>
      </c>
      <c r="K15">
        <v>0.36842105263157798</v>
      </c>
      <c r="L15" s="1">
        <v>4.5668166697552596E-47</v>
      </c>
      <c r="M15">
        <v>46</v>
      </c>
      <c r="N15">
        <v>35</v>
      </c>
      <c r="O15">
        <v>95</v>
      </c>
      <c r="P15" t="s">
        <v>175</v>
      </c>
      <c r="Q15" t="s">
        <v>176</v>
      </c>
      <c r="R15" t="s">
        <v>177</v>
      </c>
      <c r="S15">
        <v>5.2631578947368397E-2</v>
      </c>
      <c r="T15">
        <v>1.12377032438154E-2</v>
      </c>
      <c r="U15">
        <v>46</v>
      </c>
      <c r="V15">
        <v>5</v>
      </c>
      <c r="W15">
        <v>95</v>
      </c>
      <c r="X15" t="s">
        <v>178</v>
      </c>
      <c r="Y15" t="s">
        <v>179</v>
      </c>
      <c r="Z15">
        <v>0.26315789473684198</v>
      </c>
      <c r="AA15" s="1">
        <v>1.4841570304710301E-20</v>
      </c>
      <c r="AB15">
        <v>78</v>
      </c>
      <c r="AC15">
        <v>25</v>
      </c>
      <c r="AD15">
        <v>95</v>
      </c>
      <c r="AE15" t="s">
        <v>180</v>
      </c>
      <c r="AF15" t="s">
        <v>181</v>
      </c>
      <c r="AG15">
        <v>3.1578947368420998E-2</v>
      </c>
      <c r="AH15" s="1">
        <v>2.60216550034048E-5</v>
      </c>
      <c r="AI15">
        <v>3</v>
      </c>
      <c r="AJ15">
        <v>3</v>
      </c>
      <c r="AK15">
        <v>95</v>
      </c>
      <c r="AL15">
        <v>0.38154639468013801</v>
      </c>
      <c r="AM15">
        <v>95</v>
      </c>
      <c r="AN15" t="s">
        <v>182</v>
      </c>
    </row>
    <row r="16" spans="1:41" x14ac:dyDescent="0.2">
      <c r="A16">
        <v>14</v>
      </c>
      <c r="I16" t="s">
        <v>183</v>
      </c>
      <c r="J16" t="s">
        <v>184</v>
      </c>
      <c r="K16">
        <v>5.4054054054054002E-2</v>
      </c>
      <c r="L16">
        <v>1.2944495624680999E-3</v>
      </c>
      <c r="M16">
        <v>5</v>
      </c>
      <c r="N16">
        <v>2</v>
      </c>
      <c r="O16">
        <v>37</v>
      </c>
      <c r="P16" t="s">
        <v>185</v>
      </c>
      <c r="Q16" t="s">
        <v>186</v>
      </c>
      <c r="R16" t="s">
        <v>187</v>
      </c>
      <c r="S16">
        <v>0.108108108108108</v>
      </c>
      <c r="T16">
        <v>1.74732741158291E-2</v>
      </c>
      <c r="U16">
        <v>87</v>
      </c>
      <c r="V16">
        <v>4</v>
      </c>
      <c r="W16">
        <v>37</v>
      </c>
      <c r="X16" t="s">
        <v>188</v>
      </c>
      <c r="Y16" t="s">
        <v>189</v>
      </c>
      <c r="Z16">
        <v>5.4054054054054002E-2</v>
      </c>
      <c r="AA16">
        <v>1.9274165330019301E-3</v>
      </c>
      <c r="AB16">
        <v>6</v>
      </c>
      <c r="AC16">
        <v>2</v>
      </c>
      <c r="AD16">
        <v>37</v>
      </c>
      <c r="AE16" t="s">
        <v>190</v>
      </c>
      <c r="AF16" t="s">
        <v>191</v>
      </c>
      <c r="AG16">
        <v>5.4054054054054002E-2</v>
      </c>
      <c r="AH16">
        <v>2.67858264037622E-3</v>
      </c>
      <c r="AI16">
        <v>7</v>
      </c>
      <c r="AJ16">
        <v>2</v>
      </c>
      <c r="AK16">
        <v>37</v>
      </c>
      <c r="AL16">
        <v>0.248797322341267</v>
      </c>
      <c r="AM16">
        <v>37</v>
      </c>
      <c r="AN16" t="s">
        <v>192</v>
      </c>
    </row>
    <row r="17" spans="1:40" x14ac:dyDescent="0.2">
      <c r="A17">
        <v>15</v>
      </c>
      <c r="B17" t="s">
        <v>193</v>
      </c>
      <c r="C17" t="s">
        <v>194</v>
      </c>
      <c r="D17">
        <v>6.4516129032257993E-2</v>
      </c>
      <c r="E17">
        <v>0.36135800785981298</v>
      </c>
      <c r="F17">
        <v>129</v>
      </c>
      <c r="G17">
        <v>2</v>
      </c>
      <c r="H17">
        <v>31</v>
      </c>
      <c r="I17" t="s">
        <v>195</v>
      </c>
      <c r="J17" t="s">
        <v>196</v>
      </c>
      <c r="K17">
        <v>6.4516129032257993E-2</v>
      </c>
      <c r="L17">
        <v>6.7809370180830705E-2</v>
      </c>
      <c r="M17">
        <v>44</v>
      </c>
      <c r="N17">
        <v>2</v>
      </c>
      <c r="O17">
        <v>31</v>
      </c>
      <c r="P17" t="s">
        <v>197</v>
      </c>
      <c r="X17" t="s">
        <v>198</v>
      </c>
      <c r="Y17" t="s">
        <v>199</v>
      </c>
      <c r="Z17">
        <v>6.4516129032257993E-2</v>
      </c>
      <c r="AA17">
        <v>0.13828291010202301</v>
      </c>
      <c r="AB17">
        <v>67</v>
      </c>
      <c r="AC17">
        <v>2</v>
      </c>
      <c r="AD17">
        <v>31</v>
      </c>
      <c r="AE17" t="s">
        <v>200</v>
      </c>
      <c r="AF17" t="s">
        <v>199</v>
      </c>
      <c r="AG17">
        <v>6.4516129032257993E-2</v>
      </c>
      <c r="AH17">
        <v>3.1872807066150302E-3</v>
      </c>
      <c r="AI17">
        <v>9</v>
      </c>
      <c r="AJ17">
        <v>2</v>
      </c>
      <c r="AK17">
        <v>31</v>
      </c>
      <c r="AL17">
        <v>0.19195166402732</v>
      </c>
      <c r="AM17">
        <v>31</v>
      </c>
      <c r="AN17" t="s">
        <v>201</v>
      </c>
    </row>
    <row r="18" spans="1:40" x14ac:dyDescent="0.2">
      <c r="A18">
        <v>16</v>
      </c>
      <c r="I18" t="s">
        <v>202</v>
      </c>
      <c r="J18" t="s">
        <v>203</v>
      </c>
      <c r="K18">
        <v>0.16666666666666599</v>
      </c>
      <c r="L18">
        <v>2.7453936440798E-2</v>
      </c>
      <c r="M18">
        <v>70</v>
      </c>
      <c r="N18">
        <v>2</v>
      </c>
      <c r="O18">
        <v>12</v>
      </c>
      <c r="P18" t="s">
        <v>204</v>
      </c>
      <c r="Q18" t="s">
        <v>205</v>
      </c>
      <c r="R18" t="s">
        <v>203</v>
      </c>
      <c r="S18">
        <v>0.16666666666666599</v>
      </c>
      <c r="T18">
        <v>0.118514904623421</v>
      </c>
      <c r="U18">
        <v>159</v>
      </c>
      <c r="V18">
        <v>2</v>
      </c>
      <c r="W18">
        <v>12</v>
      </c>
      <c r="AL18">
        <v>0.233886127064384</v>
      </c>
      <c r="AM18">
        <v>12</v>
      </c>
      <c r="AN18" t="s">
        <v>206</v>
      </c>
    </row>
    <row r="19" spans="1:40" x14ac:dyDescent="0.2">
      <c r="A19">
        <v>17</v>
      </c>
      <c r="B19" t="s">
        <v>207</v>
      </c>
      <c r="C19" t="s">
        <v>208</v>
      </c>
      <c r="D19">
        <v>0.11874999999999999</v>
      </c>
      <c r="E19" s="1">
        <v>3.1924030958411202E-16</v>
      </c>
      <c r="F19">
        <v>36</v>
      </c>
      <c r="G19">
        <v>19</v>
      </c>
      <c r="H19">
        <v>160</v>
      </c>
      <c r="I19" t="s">
        <v>209</v>
      </c>
      <c r="J19" t="s">
        <v>210</v>
      </c>
      <c r="K19">
        <v>0.13750000000000001</v>
      </c>
      <c r="L19" s="1">
        <v>1.4829498393523199E-18</v>
      </c>
      <c r="M19">
        <v>42</v>
      </c>
      <c r="N19">
        <v>22</v>
      </c>
      <c r="O19">
        <v>160</v>
      </c>
      <c r="P19" t="s">
        <v>211</v>
      </c>
      <c r="Q19" t="s">
        <v>176</v>
      </c>
      <c r="R19" t="s">
        <v>212</v>
      </c>
      <c r="S19">
        <v>0.125</v>
      </c>
      <c r="T19" s="1">
        <v>6.3197800434848904E-15</v>
      </c>
      <c r="U19">
        <v>46</v>
      </c>
      <c r="V19">
        <v>20</v>
      </c>
      <c r="W19">
        <v>160</v>
      </c>
      <c r="X19" t="s">
        <v>213</v>
      </c>
      <c r="Y19" t="s">
        <v>214</v>
      </c>
      <c r="Z19">
        <v>0.13750000000000001</v>
      </c>
      <c r="AA19" s="1">
        <v>5.07802971643205E-16</v>
      </c>
      <c r="AB19">
        <v>52</v>
      </c>
      <c r="AC19">
        <v>22</v>
      </c>
      <c r="AD19">
        <v>160</v>
      </c>
      <c r="AE19" t="s">
        <v>215</v>
      </c>
      <c r="AF19" t="s">
        <v>216</v>
      </c>
      <c r="AG19">
        <v>2.5000000000000001E-2</v>
      </c>
      <c r="AH19" s="1">
        <v>2.9959601893737398E-5</v>
      </c>
      <c r="AI19">
        <v>5</v>
      </c>
      <c r="AJ19">
        <v>4</v>
      </c>
      <c r="AK19">
        <v>160</v>
      </c>
      <c r="AL19">
        <v>0.27973673367778801</v>
      </c>
      <c r="AM19">
        <v>160</v>
      </c>
      <c r="AN19" t="s">
        <v>217</v>
      </c>
    </row>
    <row r="20" spans="1:40" x14ac:dyDescent="0.2">
      <c r="A20">
        <v>18</v>
      </c>
      <c r="I20" t="s">
        <v>218</v>
      </c>
      <c r="J20" t="s">
        <v>219</v>
      </c>
      <c r="K20">
        <v>0.27272727272727199</v>
      </c>
      <c r="L20">
        <v>0.24627494046910101</v>
      </c>
      <c r="M20">
        <v>502</v>
      </c>
      <c r="N20">
        <v>3</v>
      </c>
      <c r="O20">
        <v>11</v>
      </c>
      <c r="P20" t="s">
        <v>220</v>
      </c>
      <c r="X20" t="s">
        <v>221</v>
      </c>
      <c r="Y20" t="s">
        <v>222</v>
      </c>
      <c r="Z20">
        <v>0.18181818181818099</v>
      </c>
      <c r="AA20">
        <v>1.12996712472645E-2</v>
      </c>
      <c r="AB20">
        <v>48</v>
      </c>
      <c r="AC20">
        <v>2</v>
      </c>
      <c r="AD20">
        <v>11</v>
      </c>
      <c r="AL20">
        <v>0.226877190179122</v>
      </c>
      <c r="AM20">
        <v>11</v>
      </c>
      <c r="AN20" t="s">
        <v>223</v>
      </c>
    </row>
    <row r="21" spans="1:40" x14ac:dyDescent="0.2">
      <c r="A21">
        <v>19</v>
      </c>
      <c r="B21" t="s">
        <v>224</v>
      </c>
      <c r="C21" t="s">
        <v>225</v>
      </c>
      <c r="D21">
        <v>8.6956521739130405E-2</v>
      </c>
      <c r="E21">
        <v>1.5015744179441899E-4</v>
      </c>
      <c r="F21">
        <v>3</v>
      </c>
      <c r="G21">
        <v>2</v>
      </c>
      <c r="H21">
        <v>23</v>
      </c>
      <c r="I21" t="s">
        <v>226</v>
      </c>
      <c r="J21" t="s">
        <v>227</v>
      </c>
      <c r="K21">
        <v>0.17391304347826</v>
      </c>
      <c r="L21">
        <v>3.0461741304885898E-4</v>
      </c>
      <c r="M21">
        <v>47</v>
      </c>
      <c r="N21">
        <v>4</v>
      </c>
      <c r="O21">
        <v>23</v>
      </c>
      <c r="P21" t="s">
        <v>228</v>
      </c>
      <c r="Q21" t="s">
        <v>229</v>
      </c>
      <c r="R21" t="s">
        <v>230</v>
      </c>
      <c r="S21">
        <v>0.34782608695652101</v>
      </c>
      <c r="T21" s="1">
        <v>1.0772197026524E-6</v>
      </c>
      <c r="U21">
        <v>121</v>
      </c>
      <c r="V21">
        <v>8</v>
      </c>
      <c r="W21">
        <v>23</v>
      </c>
      <c r="X21" t="s">
        <v>231</v>
      </c>
      <c r="Y21" t="s">
        <v>232</v>
      </c>
      <c r="Z21">
        <v>0.17391304347826</v>
      </c>
      <c r="AA21">
        <v>1.4599120302930999E-4</v>
      </c>
      <c r="AB21">
        <v>39</v>
      </c>
      <c r="AC21">
        <v>4</v>
      </c>
      <c r="AD21">
        <v>23</v>
      </c>
      <c r="AE21" t="s">
        <v>233</v>
      </c>
      <c r="AF21" t="s">
        <v>234</v>
      </c>
      <c r="AG21">
        <v>8.6956521739130405E-2</v>
      </c>
      <c r="AH21" s="1">
        <v>5.0274442818087198E-5</v>
      </c>
      <c r="AI21">
        <v>2</v>
      </c>
      <c r="AJ21">
        <v>2</v>
      </c>
      <c r="AK21">
        <v>23</v>
      </c>
      <c r="AL21">
        <v>0.28858244718343501</v>
      </c>
      <c r="AM21">
        <v>23</v>
      </c>
      <c r="AN21" t="s">
        <v>235</v>
      </c>
    </row>
    <row r="22" spans="1:40" x14ac:dyDescent="0.2">
      <c r="A22">
        <v>20</v>
      </c>
      <c r="B22" t="s">
        <v>236</v>
      </c>
      <c r="C22" t="s">
        <v>237</v>
      </c>
      <c r="D22">
        <v>9.5238095238095205E-2</v>
      </c>
      <c r="E22">
        <v>1.81871791727567E-3</v>
      </c>
      <c r="F22">
        <v>10</v>
      </c>
      <c r="G22">
        <v>2</v>
      </c>
      <c r="H22">
        <v>21</v>
      </c>
      <c r="I22" t="s">
        <v>238</v>
      </c>
      <c r="J22" t="s">
        <v>237</v>
      </c>
      <c r="K22">
        <v>9.5238095238095205E-2</v>
      </c>
      <c r="L22">
        <v>1.4219901891823299E-2</v>
      </c>
      <c r="M22">
        <v>28</v>
      </c>
      <c r="N22">
        <v>2</v>
      </c>
      <c r="O22">
        <v>21</v>
      </c>
      <c r="P22" t="s">
        <v>239</v>
      </c>
      <c r="Q22" t="s">
        <v>240</v>
      </c>
      <c r="R22" t="s">
        <v>241</v>
      </c>
      <c r="S22">
        <v>0.19047619047618999</v>
      </c>
      <c r="T22">
        <v>2.85567567290697E-2</v>
      </c>
      <c r="U22">
        <v>181</v>
      </c>
      <c r="V22">
        <v>4</v>
      </c>
      <c r="W22">
        <v>21</v>
      </c>
      <c r="X22" t="s">
        <v>242</v>
      </c>
      <c r="Y22" t="s">
        <v>243</v>
      </c>
      <c r="Z22">
        <v>0.14285714285714199</v>
      </c>
      <c r="AA22">
        <v>1.3109019613462001E-3</v>
      </c>
      <c r="AB22">
        <v>34</v>
      </c>
      <c r="AC22">
        <v>3</v>
      </c>
      <c r="AD22">
        <v>21</v>
      </c>
      <c r="AL22">
        <v>0.228625966607717</v>
      </c>
      <c r="AM22">
        <v>21</v>
      </c>
      <c r="AN22" t="s">
        <v>244</v>
      </c>
    </row>
    <row r="23" spans="1:40" x14ac:dyDescent="0.2">
      <c r="A23">
        <v>21</v>
      </c>
      <c r="B23" t="s">
        <v>245</v>
      </c>
      <c r="C23" t="s">
        <v>246</v>
      </c>
      <c r="D23">
        <v>0.17241379310344801</v>
      </c>
      <c r="E23" s="1">
        <v>3.5071709609998902E-7</v>
      </c>
      <c r="F23">
        <v>18</v>
      </c>
      <c r="G23">
        <v>5</v>
      </c>
      <c r="H23">
        <v>29</v>
      </c>
      <c r="I23" t="s">
        <v>247</v>
      </c>
      <c r="J23" t="s">
        <v>248</v>
      </c>
      <c r="K23">
        <v>0.44827586206896503</v>
      </c>
      <c r="L23" s="1">
        <v>7.6734246138292405E-12</v>
      </c>
      <c r="M23">
        <v>121</v>
      </c>
      <c r="N23">
        <v>13</v>
      </c>
      <c r="O23">
        <v>29</v>
      </c>
      <c r="P23" t="s">
        <v>249</v>
      </c>
      <c r="Q23" t="s">
        <v>250</v>
      </c>
      <c r="R23" t="s">
        <v>251</v>
      </c>
      <c r="S23">
        <v>0.44827586206896503</v>
      </c>
      <c r="T23" s="1">
        <v>2.6337055283751099E-11</v>
      </c>
      <c r="U23">
        <v>133</v>
      </c>
      <c r="V23">
        <v>13</v>
      </c>
      <c r="W23">
        <v>29</v>
      </c>
      <c r="X23" t="s">
        <v>252</v>
      </c>
      <c r="Y23" t="s">
        <v>253</v>
      </c>
      <c r="Z23">
        <v>0.48275862068965503</v>
      </c>
      <c r="AA23" s="1">
        <v>1.16682712652443E-8</v>
      </c>
      <c r="AB23">
        <v>261</v>
      </c>
      <c r="AC23">
        <v>14</v>
      </c>
      <c r="AD23">
        <v>29</v>
      </c>
      <c r="AE23" t="s">
        <v>254</v>
      </c>
      <c r="AF23" t="s">
        <v>255</v>
      </c>
      <c r="AG23">
        <v>0.13793103448275801</v>
      </c>
      <c r="AH23" s="1">
        <v>1.7786948529429899E-6</v>
      </c>
      <c r="AI23">
        <v>11</v>
      </c>
      <c r="AJ23">
        <v>4</v>
      </c>
      <c r="AK23">
        <v>29</v>
      </c>
      <c r="AL23">
        <v>0.23521361846675701</v>
      </c>
      <c r="AM23">
        <v>29</v>
      </c>
      <c r="AN23" t="s">
        <v>256</v>
      </c>
    </row>
    <row r="24" spans="1:40" x14ac:dyDescent="0.2">
      <c r="A24">
        <v>22</v>
      </c>
      <c r="B24" t="s">
        <v>257</v>
      </c>
      <c r="C24" t="s">
        <v>258</v>
      </c>
      <c r="D24">
        <v>1.8867924528301799E-2</v>
      </c>
      <c r="E24">
        <v>3.24498018380519E-3</v>
      </c>
      <c r="F24">
        <v>3</v>
      </c>
      <c r="G24">
        <v>2</v>
      </c>
      <c r="H24">
        <v>106</v>
      </c>
      <c r="I24" t="s">
        <v>259</v>
      </c>
      <c r="J24" t="s">
        <v>260</v>
      </c>
      <c r="K24">
        <v>1.8867924528301799E-2</v>
      </c>
      <c r="L24">
        <v>1.0350546121191901E-2</v>
      </c>
      <c r="M24">
        <v>5</v>
      </c>
      <c r="N24">
        <v>2</v>
      </c>
      <c r="O24">
        <v>106</v>
      </c>
      <c r="P24" t="s">
        <v>261</v>
      </c>
      <c r="Q24" t="s">
        <v>262</v>
      </c>
      <c r="R24" t="s">
        <v>263</v>
      </c>
      <c r="S24">
        <v>1.8867924528301799E-2</v>
      </c>
      <c r="T24">
        <v>9.7897479171051599E-2</v>
      </c>
      <c r="U24">
        <v>16</v>
      </c>
      <c r="V24">
        <v>2</v>
      </c>
      <c r="W24">
        <v>106</v>
      </c>
      <c r="X24" t="s">
        <v>264</v>
      </c>
      <c r="Y24" t="s">
        <v>265</v>
      </c>
      <c r="Z24">
        <v>5.6603773584905599E-2</v>
      </c>
      <c r="AA24">
        <v>6.3990140440670501E-3</v>
      </c>
      <c r="AB24">
        <v>51</v>
      </c>
      <c r="AC24">
        <v>6</v>
      </c>
      <c r="AD24">
        <v>106</v>
      </c>
      <c r="AE24" t="s">
        <v>266</v>
      </c>
      <c r="AF24" t="s">
        <v>267</v>
      </c>
      <c r="AG24">
        <v>1.8867924528301799E-2</v>
      </c>
      <c r="AH24">
        <v>1.1058390287851899E-3</v>
      </c>
      <c r="AI24">
        <v>2</v>
      </c>
      <c r="AJ24">
        <v>2</v>
      </c>
      <c r="AK24">
        <v>106</v>
      </c>
      <c r="AL24">
        <v>0.21059053072613801</v>
      </c>
      <c r="AM24">
        <v>106</v>
      </c>
      <c r="AN24" t="s">
        <v>268</v>
      </c>
    </row>
    <row r="25" spans="1:40" x14ac:dyDescent="0.2">
      <c r="A25">
        <v>23</v>
      </c>
      <c r="B25" t="s">
        <v>269</v>
      </c>
      <c r="C25" t="s">
        <v>270</v>
      </c>
      <c r="D25">
        <v>0.16666666666666599</v>
      </c>
      <c r="E25">
        <v>3.5177051097393497E-2</v>
      </c>
      <c r="F25">
        <v>80</v>
      </c>
      <c r="G25">
        <v>2</v>
      </c>
      <c r="H25">
        <v>12</v>
      </c>
      <c r="I25" t="s">
        <v>271</v>
      </c>
      <c r="J25" t="s">
        <v>270</v>
      </c>
      <c r="K25">
        <v>0.16666666666666599</v>
      </c>
      <c r="L25">
        <v>5.8662485330118398E-2</v>
      </c>
      <c r="M25">
        <v>106</v>
      </c>
      <c r="N25">
        <v>2</v>
      </c>
      <c r="O25">
        <v>12</v>
      </c>
      <c r="P25" t="s">
        <v>272</v>
      </c>
      <c r="X25" t="s">
        <v>273</v>
      </c>
      <c r="Y25" t="s">
        <v>274</v>
      </c>
      <c r="Z25">
        <v>0.16666666666666599</v>
      </c>
      <c r="AA25">
        <v>0.118514904623421</v>
      </c>
      <c r="AB25">
        <v>159</v>
      </c>
      <c r="AC25">
        <v>2</v>
      </c>
      <c r="AD25">
        <v>12</v>
      </c>
      <c r="AE25" t="s">
        <v>275</v>
      </c>
      <c r="AF25" t="s">
        <v>270</v>
      </c>
      <c r="AG25">
        <v>0.16666666666666599</v>
      </c>
      <c r="AH25">
        <v>3.6261435485814898E-4</v>
      </c>
      <c r="AI25">
        <v>8</v>
      </c>
      <c r="AJ25">
        <v>2</v>
      </c>
      <c r="AK25">
        <v>12</v>
      </c>
      <c r="AL25">
        <v>0.18272351039263399</v>
      </c>
      <c r="AM25">
        <v>12</v>
      </c>
      <c r="AN25" t="s">
        <v>276</v>
      </c>
    </row>
    <row r="26" spans="1:40" x14ac:dyDescent="0.2">
      <c r="A26">
        <v>24</v>
      </c>
      <c r="B26" t="s">
        <v>277</v>
      </c>
      <c r="C26" t="s">
        <v>278</v>
      </c>
      <c r="D26">
        <v>0.114754098360655</v>
      </c>
      <c r="E26" s="1">
        <v>6.8355337556342196E-13</v>
      </c>
      <c r="F26">
        <v>7</v>
      </c>
      <c r="G26">
        <v>7</v>
      </c>
      <c r="H26">
        <v>61</v>
      </c>
      <c r="I26" t="s">
        <v>279</v>
      </c>
      <c r="J26" t="s">
        <v>280</v>
      </c>
      <c r="K26">
        <v>0.114754098360655</v>
      </c>
      <c r="L26" s="1">
        <v>2.1240436341075799E-10</v>
      </c>
      <c r="M26">
        <v>11</v>
      </c>
      <c r="N26">
        <v>7</v>
      </c>
      <c r="O26">
        <v>61</v>
      </c>
      <c r="P26" t="s">
        <v>277</v>
      </c>
      <c r="Q26" t="s">
        <v>281</v>
      </c>
      <c r="R26" t="s">
        <v>282</v>
      </c>
      <c r="S26">
        <v>0.114754098360655</v>
      </c>
      <c r="T26" s="1">
        <v>7.5843347789321904E-5</v>
      </c>
      <c r="U26">
        <v>56</v>
      </c>
      <c r="V26">
        <v>7</v>
      </c>
      <c r="W26">
        <v>61</v>
      </c>
      <c r="X26" t="s">
        <v>283</v>
      </c>
      <c r="Y26" t="s">
        <v>284</v>
      </c>
      <c r="Z26">
        <v>0.14754098360655701</v>
      </c>
      <c r="AA26" s="1">
        <v>5.3182261419257903E-8</v>
      </c>
      <c r="AB26">
        <v>42</v>
      </c>
      <c r="AC26">
        <v>9</v>
      </c>
      <c r="AD26">
        <v>61</v>
      </c>
      <c r="AE26" t="s">
        <v>285</v>
      </c>
      <c r="AF26" t="s">
        <v>286</v>
      </c>
      <c r="AG26">
        <v>9.8360655737704902E-2</v>
      </c>
      <c r="AH26" s="1">
        <v>7.7844019443512303E-9</v>
      </c>
      <c r="AI26">
        <v>10</v>
      </c>
      <c r="AJ26">
        <v>6</v>
      </c>
      <c r="AK26">
        <v>61</v>
      </c>
      <c r="AL26">
        <v>0.30963005610419397</v>
      </c>
      <c r="AM26">
        <v>61</v>
      </c>
      <c r="AN26" t="s">
        <v>287</v>
      </c>
    </row>
    <row r="27" spans="1:40" x14ac:dyDescent="0.2">
      <c r="A27">
        <v>25</v>
      </c>
      <c r="I27" t="s">
        <v>288</v>
      </c>
      <c r="J27" t="s">
        <v>289</v>
      </c>
      <c r="K27">
        <v>4.1666666666666602E-2</v>
      </c>
      <c r="L27">
        <v>1.5719450672967601E-2</v>
      </c>
      <c r="M27">
        <v>13</v>
      </c>
      <c r="N27">
        <v>2</v>
      </c>
      <c r="O27">
        <v>48</v>
      </c>
      <c r="P27" t="s">
        <v>290</v>
      </c>
      <c r="Q27" t="s">
        <v>291</v>
      </c>
      <c r="R27" t="s">
        <v>292</v>
      </c>
      <c r="S27">
        <v>4.1666666666666602E-2</v>
      </c>
      <c r="T27">
        <v>0.57509144939461498</v>
      </c>
      <c r="U27">
        <v>126</v>
      </c>
      <c r="V27">
        <v>2</v>
      </c>
      <c r="W27">
        <v>48</v>
      </c>
      <c r="X27" t="s">
        <v>293</v>
      </c>
      <c r="Y27" t="s">
        <v>292</v>
      </c>
      <c r="Z27">
        <v>4.1666666666666602E-2</v>
      </c>
      <c r="AA27">
        <v>9.2595690733135894E-2</v>
      </c>
      <c r="AB27">
        <v>34</v>
      </c>
      <c r="AC27">
        <v>2</v>
      </c>
      <c r="AD27">
        <v>48</v>
      </c>
      <c r="AE27" t="s">
        <v>294</v>
      </c>
      <c r="AF27" t="s">
        <v>295</v>
      </c>
      <c r="AG27">
        <v>4.1666666666666602E-2</v>
      </c>
      <c r="AH27">
        <v>0.121707391289853</v>
      </c>
      <c r="AI27">
        <v>40</v>
      </c>
      <c r="AJ27">
        <v>2</v>
      </c>
      <c r="AK27">
        <v>48</v>
      </c>
      <c r="AL27">
        <v>0.20208163675948199</v>
      </c>
      <c r="AM27">
        <v>48</v>
      </c>
      <c r="AN27" t="s">
        <v>296</v>
      </c>
    </row>
    <row r="28" spans="1:40" x14ac:dyDescent="0.2">
      <c r="A28">
        <v>26</v>
      </c>
      <c r="I28" t="s">
        <v>297</v>
      </c>
      <c r="J28" t="s">
        <v>298</v>
      </c>
      <c r="K28">
        <v>0.18181818181818099</v>
      </c>
      <c r="L28">
        <v>9.7654404141356996E-2</v>
      </c>
      <c r="M28">
        <v>155</v>
      </c>
      <c r="N28">
        <v>2</v>
      </c>
      <c r="O28">
        <v>11</v>
      </c>
      <c r="P28" t="s">
        <v>299</v>
      </c>
      <c r="Q28" t="s">
        <v>300</v>
      </c>
      <c r="R28" t="s">
        <v>298</v>
      </c>
      <c r="S28">
        <v>0.18181818181818099</v>
      </c>
      <c r="T28">
        <v>4.1712483664862902E-2</v>
      </c>
      <c r="U28">
        <v>96</v>
      </c>
      <c r="V28">
        <v>2</v>
      </c>
      <c r="W28">
        <v>11</v>
      </c>
      <c r="X28" t="s">
        <v>301</v>
      </c>
      <c r="Y28" t="s">
        <v>298</v>
      </c>
      <c r="Z28">
        <v>0.18181818181818099</v>
      </c>
      <c r="AA28">
        <v>6.4560295890861803E-3</v>
      </c>
      <c r="AB28">
        <v>36</v>
      </c>
      <c r="AC28">
        <v>2</v>
      </c>
      <c r="AD28">
        <v>11</v>
      </c>
      <c r="AL28">
        <v>0.25144388205892798</v>
      </c>
      <c r="AM28">
        <v>11</v>
      </c>
      <c r="AN28" t="s">
        <v>302</v>
      </c>
    </row>
    <row r="29" spans="1:40" x14ac:dyDescent="0.2">
      <c r="A29">
        <v>27</v>
      </c>
      <c r="I29" t="s">
        <v>303</v>
      </c>
      <c r="J29" t="s">
        <v>304</v>
      </c>
      <c r="K29">
        <v>9.0909090909090898E-2</v>
      </c>
      <c r="L29">
        <v>8.8998342031277305E-3</v>
      </c>
      <c r="M29">
        <v>21</v>
      </c>
      <c r="N29">
        <v>2</v>
      </c>
      <c r="O29">
        <v>22</v>
      </c>
      <c r="P29" t="s">
        <v>305</v>
      </c>
      <c r="X29" t="s">
        <v>306</v>
      </c>
      <c r="Y29" t="s">
        <v>307</v>
      </c>
      <c r="Z29">
        <v>9.0909090909090898E-2</v>
      </c>
      <c r="AA29">
        <v>0.18098039602154001</v>
      </c>
      <c r="AB29">
        <v>112</v>
      </c>
      <c r="AC29">
        <v>2</v>
      </c>
      <c r="AD29">
        <v>22</v>
      </c>
      <c r="AL29">
        <v>0.22115061082869999</v>
      </c>
      <c r="AM29">
        <v>22</v>
      </c>
      <c r="AN29" t="s">
        <v>308</v>
      </c>
    </row>
    <row r="30" spans="1:40" x14ac:dyDescent="0.2">
      <c r="A30">
        <v>28</v>
      </c>
      <c r="B30" t="s">
        <v>309</v>
      </c>
      <c r="C30" t="s">
        <v>310</v>
      </c>
      <c r="D30">
        <v>1.6483516483516401E-2</v>
      </c>
      <c r="E30">
        <v>1.7040734131265999E-3</v>
      </c>
      <c r="F30">
        <v>5</v>
      </c>
      <c r="G30">
        <v>3</v>
      </c>
      <c r="H30">
        <v>182</v>
      </c>
      <c r="I30" t="s">
        <v>311</v>
      </c>
      <c r="J30" t="s">
        <v>312</v>
      </c>
      <c r="K30">
        <v>0.19780219780219699</v>
      </c>
      <c r="L30" s="1">
        <v>5.8379569012914998E-8</v>
      </c>
      <c r="M30">
        <v>246</v>
      </c>
      <c r="N30">
        <v>36</v>
      </c>
      <c r="O30">
        <v>182</v>
      </c>
      <c r="P30" t="s">
        <v>313</v>
      </c>
      <c r="Q30" t="s">
        <v>314</v>
      </c>
      <c r="R30" t="s">
        <v>315</v>
      </c>
      <c r="S30">
        <v>2.7472527472527399E-2</v>
      </c>
      <c r="T30">
        <v>0.24819518574107399</v>
      </c>
      <c r="U30">
        <v>59</v>
      </c>
      <c r="V30">
        <v>5</v>
      </c>
      <c r="W30">
        <v>182</v>
      </c>
      <c r="X30" t="s">
        <v>316</v>
      </c>
      <c r="Y30" t="s">
        <v>317</v>
      </c>
      <c r="Z30">
        <v>3.8461538461538401E-2</v>
      </c>
      <c r="AA30">
        <v>1.1441009210024699E-2</v>
      </c>
      <c r="AB30">
        <v>44</v>
      </c>
      <c r="AC30">
        <v>7</v>
      </c>
      <c r="AD30">
        <v>182</v>
      </c>
      <c r="AE30" t="s">
        <v>318</v>
      </c>
      <c r="AF30" t="s">
        <v>319</v>
      </c>
      <c r="AG30">
        <v>1.6483516483516401E-2</v>
      </c>
      <c r="AH30">
        <v>3.2645951313899401E-3</v>
      </c>
      <c r="AI30">
        <v>6</v>
      </c>
      <c r="AJ30">
        <v>3</v>
      </c>
      <c r="AK30">
        <v>182</v>
      </c>
      <c r="AL30">
        <v>0.284824730651067</v>
      </c>
      <c r="AM30">
        <v>182</v>
      </c>
      <c r="AN30" t="s">
        <v>320</v>
      </c>
    </row>
    <row r="31" spans="1:40" x14ac:dyDescent="0.2">
      <c r="A31">
        <v>29</v>
      </c>
      <c r="I31" t="s">
        <v>321</v>
      </c>
      <c r="J31" t="s">
        <v>322</v>
      </c>
      <c r="K31">
        <v>0.6</v>
      </c>
      <c r="L31" s="1">
        <v>3.1125943653868301E-14</v>
      </c>
      <c r="M31">
        <v>10</v>
      </c>
      <c r="N31">
        <v>6</v>
      </c>
      <c r="O31">
        <v>10</v>
      </c>
      <c r="P31" t="s">
        <v>323</v>
      </c>
      <c r="AE31" t="s">
        <v>324</v>
      </c>
      <c r="AF31" t="s">
        <v>325</v>
      </c>
      <c r="AG31">
        <v>0.2</v>
      </c>
      <c r="AH31" s="1">
        <v>8.9420945723870497E-6</v>
      </c>
      <c r="AI31">
        <v>2</v>
      </c>
      <c r="AJ31">
        <v>2</v>
      </c>
      <c r="AK31">
        <v>10</v>
      </c>
      <c r="AL31">
        <v>0.50638585503206501</v>
      </c>
      <c r="AM31">
        <v>10</v>
      </c>
      <c r="AN31" t="s">
        <v>326</v>
      </c>
    </row>
    <row r="32" spans="1:40" x14ac:dyDescent="0.2">
      <c r="A32">
        <v>30</v>
      </c>
      <c r="I32" t="s">
        <v>327</v>
      </c>
      <c r="J32" t="s">
        <v>328</v>
      </c>
      <c r="K32">
        <v>0.2</v>
      </c>
      <c r="L32">
        <v>2.02895733096242E-4</v>
      </c>
      <c r="M32">
        <v>49</v>
      </c>
      <c r="N32">
        <v>4</v>
      </c>
      <c r="O32">
        <v>20</v>
      </c>
      <c r="P32" t="s">
        <v>329</v>
      </c>
      <c r="Q32" t="s">
        <v>330</v>
      </c>
      <c r="R32" t="s">
        <v>331</v>
      </c>
      <c r="S32">
        <v>0.1</v>
      </c>
      <c r="T32">
        <v>0.100704490339122</v>
      </c>
      <c r="U32">
        <v>86</v>
      </c>
      <c r="V32">
        <v>2</v>
      </c>
      <c r="W32">
        <v>20</v>
      </c>
      <c r="X32" t="s">
        <v>332</v>
      </c>
      <c r="Y32" t="s">
        <v>331</v>
      </c>
      <c r="Z32">
        <v>0.1</v>
      </c>
      <c r="AA32">
        <v>1.57342493194415E-2</v>
      </c>
      <c r="AB32">
        <v>31</v>
      </c>
      <c r="AC32">
        <v>2</v>
      </c>
      <c r="AD32">
        <v>20</v>
      </c>
      <c r="AL32">
        <v>0.20626837515065799</v>
      </c>
      <c r="AM32">
        <v>20</v>
      </c>
      <c r="AN32" t="s">
        <v>333</v>
      </c>
    </row>
    <row r="33" spans="1:40" x14ac:dyDescent="0.2">
      <c r="A33">
        <v>31</v>
      </c>
      <c r="B33" t="s">
        <v>334</v>
      </c>
      <c r="C33" t="s">
        <v>335</v>
      </c>
      <c r="D33">
        <v>0.36363636363636298</v>
      </c>
      <c r="E33">
        <v>3.0110155300653397E-4</v>
      </c>
      <c r="F33">
        <v>104</v>
      </c>
      <c r="G33">
        <v>4</v>
      </c>
      <c r="H33">
        <v>11</v>
      </c>
      <c r="I33" t="s">
        <v>336</v>
      </c>
      <c r="J33" t="s">
        <v>337</v>
      </c>
      <c r="K33">
        <v>0.36363636363636298</v>
      </c>
      <c r="L33" s="1">
        <v>1.5312223632014699E-5</v>
      </c>
      <c r="M33">
        <v>49</v>
      </c>
      <c r="N33">
        <v>4</v>
      </c>
      <c r="O33">
        <v>11</v>
      </c>
      <c r="P33" t="s">
        <v>338</v>
      </c>
      <c r="Q33" t="s">
        <v>83</v>
      </c>
      <c r="R33" t="s">
        <v>339</v>
      </c>
      <c r="S33">
        <v>0.18181818181818099</v>
      </c>
      <c r="T33">
        <v>8.3239008250555104E-3</v>
      </c>
      <c r="U33">
        <v>41</v>
      </c>
      <c r="V33">
        <v>2</v>
      </c>
      <c r="W33">
        <v>11</v>
      </c>
      <c r="X33" t="s">
        <v>340</v>
      </c>
      <c r="Y33" t="s">
        <v>341</v>
      </c>
      <c r="Z33">
        <v>0.45454545454545398</v>
      </c>
      <c r="AA33">
        <v>3.5954179329424698E-4</v>
      </c>
      <c r="AB33">
        <v>205</v>
      </c>
      <c r="AC33">
        <v>5</v>
      </c>
      <c r="AD33">
        <v>11</v>
      </c>
      <c r="AE33" t="s">
        <v>342</v>
      </c>
      <c r="AF33" t="s">
        <v>343</v>
      </c>
      <c r="AG33">
        <v>0.27272727272727199</v>
      </c>
      <c r="AH33" s="1">
        <v>1.37964332170638E-5</v>
      </c>
      <c r="AI33">
        <v>15</v>
      </c>
      <c r="AJ33">
        <v>3</v>
      </c>
      <c r="AK33">
        <v>11</v>
      </c>
      <c r="AL33">
        <v>0.620692593107394</v>
      </c>
      <c r="AM33">
        <v>11</v>
      </c>
      <c r="AN33" t="s">
        <v>344</v>
      </c>
    </row>
    <row r="34" spans="1:40" x14ac:dyDescent="0.2">
      <c r="A34">
        <v>32</v>
      </c>
      <c r="I34" t="s">
        <v>345</v>
      </c>
      <c r="J34" t="s">
        <v>346</v>
      </c>
      <c r="K34">
        <v>0.05</v>
      </c>
      <c r="L34">
        <v>3.8727515921968603E-2</v>
      </c>
      <c r="M34">
        <v>25</v>
      </c>
      <c r="N34">
        <v>2</v>
      </c>
      <c r="O34">
        <v>40</v>
      </c>
      <c r="P34" t="s">
        <v>347</v>
      </c>
      <c r="Q34" t="s">
        <v>229</v>
      </c>
      <c r="R34" t="s">
        <v>348</v>
      </c>
      <c r="S34">
        <v>7.4999999999999997E-2</v>
      </c>
      <c r="T34">
        <v>0.19431100911985399</v>
      </c>
      <c r="U34">
        <v>121</v>
      </c>
      <c r="V34">
        <v>3</v>
      </c>
      <c r="W34">
        <v>40</v>
      </c>
      <c r="X34" t="s">
        <v>349</v>
      </c>
      <c r="Y34" t="s">
        <v>350</v>
      </c>
      <c r="Z34">
        <v>0.05</v>
      </c>
      <c r="AA34">
        <v>2.5514747848962301E-2</v>
      </c>
      <c r="AB34">
        <v>20</v>
      </c>
      <c r="AC34">
        <v>2</v>
      </c>
      <c r="AD34">
        <v>40</v>
      </c>
      <c r="AE34" t="s">
        <v>351</v>
      </c>
      <c r="AF34" t="s">
        <v>352</v>
      </c>
      <c r="AG34">
        <v>0.05</v>
      </c>
      <c r="AH34">
        <v>4.6127408987070898E-4</v>
      </c>
      <c r="AI34">
        <v>3</v>
      </c>
      <c r="AJ34">
        <v>2</v>
      </c>
      <c r="AK34">
        <v>40</v>
      </c>
      <c r="AL34">
        <v>0.25843029063661499</v>
      </c>
      <c r="AM34">
        <v>40</v>
      </c>
      <c r="AN34" t="s">
        <v>353</v>
      </c>
    </row>
    <row r="35" spans="1:40" x14ac:dyDescent="0.2">
      <c r="A35">
        <v>33</v>
      </c>
      <c r="I35" t="s">
        <v>136</v>
      </c>
      <c r="J35" t="s">
        <v>354</v>
      </c>
      <c r="K35">
        <v>0.11111111111111099</v>
      </c>
      <c r="L35">
        <v>0.75220201035687295</v>
      </c>
      <c r="M35">
        <v>454</v>
      </c>
      <c r="N35">
        <v>2</v>
      </c>
      <c r="O35">
        <v>18</v>
      </c>
      <c r="P35" t="s">
        <v>138</v>
      </c>
      <c r="X35" t="s">
        <v>355</v>
      </c>
      <c r="Y35" t="s">
        <v>356</v>
      </c>
      <c r="Z35">
        <v>0.11111111111111099</v>
      </c>
      <c r="AA35">
        <v>0.89905577051080598</v>
      </c>
      <c r="AB35">
        <v>630</v>
      </c>
      <c r="AC35">
        <v>2</v>
      </c>
      <c r="AD35">
        <v>18</v>
      </c>
      <c r="AL35">
        <v>0.25612088667776201</v>
      </c>
      <c r="AM35">
        <v>18</v>
      </c>
      <c r="AN35" t="s">
        <v>357</v>
      </c>
    </row>
    <row r="36" spans="1:40" x14ac:dyDescent="0.2">
      <c r="A36">
        <v>34</v>
      </c>
      <c r="B36" t="s">
        <v>358</v>
      </c>
      <c r="C36" t="s">
        <v>359</v>
      </c>
      <c r="D36">
        <v>6.6666666666666596E-2</v>
      </c>
      <c r="E36" s="1">
        <v>8.64402475330748E-5</v>
      </c>
      <c r="F36">
        <v>2</v>
      </c>
      <c r="G36">
        <v>2</v>
      </c>
      <c r="H36">
        <v>30</v>
      </c>
      <c r="I36" t="s">
        <v>360</v>
      </c>
      <c r="J36" t="s">
        <v>361</v>
      </c>
      <c r="K36">
        <v>0.1</v>
      </c>
      <c r="L36">
        <v>6.8307408360795503E-3</v>
      </c>
      <c r="M36">
        <v>42</v>
      </c>
      <c r="N36">
        <v>3</v>
      </c>
      <c r="O36">
        <v>30</v>
      </c>
      <c r="P36" t="s">
        <v>362</v>
      </c>
      <c r="Q36" t="s">
        <v>129</v>
      </c>
      <c r="R36" t="s">
        <v>363</v>
      </c>
      <c r="S36">
        <v>0.233333333333333</v>
      </c>
      <c r="T36">
        <v>9.7889164501473898E-3</v>
      </c>
      <c r="U36">
        <v>264</v>
      </c>
      <c r="V36">
        <v>7</v>
      </c>
      <c r="W36">
        <v>30</v>
      </c>
      <c r="X36" t="s">
        <v>364</v>
      </c>
      <c r="Y36" t="s">
        <v>365</v>
      </c>
      <c r="Z36">
        <v>0.133333333333333</v>
      </c>
      <c r="AA36">
        <v>1.81178896263442E-3</v>
      </c>
      <c r="AB36">
        <v>57</v>
      </c>
      <c r="AC36">
        <v>4</v>
      </c>
      <c r="AD36">
        <v>30</v>
      </c>
      <c r="AE36" t="s">
        <v>366</v>
      </c>
      <c r="AF36" t="s">
        <v>367</v>
      </c>
      <c r="AG36">
        <v>6.6666666666666596E-2</v>
      </c>
      <c r="AH36">
        <v>1.7624944903205E-3</v>
      </c>
      <c r="AI36">
        <v>7</v>
      </c>
      <c r="AJ36">
        <v>2</v>
      </c>
      <c r="AK36">
        <v>30</v>
      </c>
      <c r="AL36">
        <v>0.29240854663094901</v>
      </c>
      <c r="AM36">
        <v>30</v>
      </c>
      <c r="AN36" t="s">
        <v>368</v>
      </c>
    </row>
    <row r="37" spans="1:40" x14ac:dyDescent="0.2">
      <c r="A37">
        <v>35</v>
      </c>
      <c r="I37" t="s">
        <v>311</v>
      </c>
      <c r="J37" t="s">
        <v>369</v>
      </c>
      <c r="K37">
        <v>0.25</v>
      </c>
      <c r="L37">
        <v>8.3583341343342298E-3</v>
      </c>
      <c r="M37">
        <v>246</v>
      </c>
      <c r="N37">
        <v>6</v>
      </c>
      <c r="O37">
        <v>24</v>
      </c>
      <c r="P37" t="s">
        <v>313</v>
      </c>
      <c r="Q37" t="s">
        <v>205</v>
      </c>
      <c r="R37" t="s">
        <v>370</v>
      </c>
      <c r="S37">
        <v>0.125</v>
      </c>
      <c r="T37">
        <v>0.11581878666076199</v>
      </c>
      <c r="U37">
        <v>159</v>
      </c>
      <c r="V37">
        <v>3</v>
      </c>
      <c r="W37">
        <v>24</v>
      </c>
      <c r="X37" t="s">
        <v>371</v>
      </c>
      <c r="Y37" t="s">
        <v>370</v>
      </c>
      <c r="Z37">
        <v>0.125</v>
      </c>
      <c r="AA37" s="1">
        <v>6.0331760144641699E-5</v>
      </c>
      <c r="AB37">
        <v>11</v>
      </c>
      <c r="AC37">
        <v>3</v>
      </c>
      <c r="AD37">
        <v>24</v>
      </c>
      <c r="AE37" t="s">
        <v>372</v>
      </c>
      <c r="AF37" t="s">
        <v>373</v>
      </c>
      <c r="AG37">
        <v>8.3333333333333301E-2</v>
      </c>
      <c r="AH37">
        <v>9.5886358118980608E-3</v>
      </c>
      <c r="AI37">
        <v>20</v>
      </c>
      <c r="AJ37">
        <v>2</v>
      </c>
      <c r="AK37">
        <v>24</v>
      </c>
      <c r="AL37">
        <v>0.50974997756399398</v>
      </c>
      <c r="AM37">
        <v>24</v>
      </c>
      <c r="AN37" t="s">
        <v>374</v>
      </c>
    </row>
    <row r="38" spans="1:40" x14ac:dyDescent="0.2">
      <c r="A38">
        <v>36</v>
      </c>
      <c r="B38" t="s">
        <v>375</v>
      </c>
      <c r="C38" t="s">
        <v>376</v>
      </c>
      <c r="D38">
        <v>4.8611111111111098E-2</v>
      </c>
      <c r="E38" s="1">
        <v>4.4919338186646E-11</v>
      </c>
      <c r="F38">
        <v>20</v>
      </c>
      <c r="G38">
        <v>14</v>
      </c>
      <c r="H38">
        <v>288</v>
      </c>
      <c r="I38" t="s">
        <v>377</v>
      </c>
      <c r="J38" t="s">
        <v>378</v>
      </c>
      <c r="K38">
        <v>0.39930555555555503</v>
      </c>
      <c r="L38" s="1">
        <v>8.7575503832482609E-31</v>
      </c>
      <c r="M38">
        <v>446</v>
      </c>
      <c r="N38">
        <v>115</v>
      </c>
      <c r="O38">
        <v>288</v>
      </c>
      <c r="P38" t="s">
        <v>379</v>
      </c>
      <c r="Q38" t="s">
        <v>380</v>
      </c>
      <c r="R38" t="s">
        <v>381</v>
      </c>
      <c r="S38">
        <v>7.6388888888888895E-2</v>
      </c>
      <c r="T38" s="1">
        <v>6.5407456634510499E-15</v>
      </c>
      <c r="U38">
        <v>36</v>
      </c>
      <c r="V38">
        <v>22</v>
      </c>
      <c r="W38">
        <v>288</v>
      </c>
      <c r="X38" t="s">
        <v>382</v>
      </c>
      <c r="Y38" t="s">
        <v>383</v>
      </c>
      <c r="Z38">
        <v>8.3333333333333301E-2</v>
      </c>
      <c r="AA38" s="1">
        <v>2.1392218190790299E-19</v>
      </c>
      <c r="AB38">
        <v>32</v>
      </c>
      <c r="AC38">
        <v>24</v>
      </c>
      <c r="AD38">
        <v>288</v>
      </c>
      <c r="AE38" t="s">
        <v>384</v>
      </c>
      <c r="AF38" t="s">
        <v>385</v>
      </c>
      <c r="AG38">
        <v>2.77777777777777E-2</v>
      </c>
      <c r="AH38" s="1">
        <v>4.2132801807990297E-9</v>
      </c>
      <c r="AI38">
        <v>8</v>
      </c>
      <c r="AJ38">
        <v>8</v>
      </c>
      <c r="AK38">
        <v>288</v>
      </c>
      <c r="AL38">
        <v>0.32061352454293401</v>
      </c>
      <c r="AM38">
        <v>288</v>
      </c>
      <c r="AN38" t="s">
        <v>386</v>
      </c>
    </row>
    <row r="39" spans="1:40" x14ac:dyDescent="0.2">
      <c r="A39">
        <v>37</v>
      </c>
      <c r="B39" t="s">
        <v>387</v>
      </c>
      <c r="C39" t="s">
        <v>388</v>
      </c>
      <c r="D39">
        <v>2.9850746268656699E-2</v>
      </c>
      <c r="E39">
        <v>2.52936573008994E-2</v>
      </c>
      <c r="F39">
        <v>12</v>
      </c>
      <c r="G39">
        <v>2</v>
      </c>
      <c r="H39">
        <v>67</v>
      </c>
      <c r="I39" t="s">
        <v>389</v>
      </c>
      <c r="J39" t="s">
        <v>390</v>
      </c>
      <c r="K39">
        <v>4.4776119402985003E-2</v>
      </c>
      <c r="L39">
        <v>1.7278523531143301E-3</v>
      </c>
      <c r="M39">
        <v>12</v>
      </c>
      <c r="N39">
        <v>3</v>
      </c>
      <c r="O39">
        <v>67</v>
      </c>
      <c r="P39" t="s">
        <v>391</v>
      </c>
      <c r="Q39" t="s">
        <v>392</v>
      </c>
      <c r="R39" t="s">
        <v>393</v>
      </c>
      <c r="S39">
        <v>5.9701492537313397E-2</v>
      </c>
      <c r="T39">
        <v>0.228093610764977</v>
      </c>
      <c r="U39">
        <v>116</v>
      </c>
      <c r="V39">
        <v>4</v>
      </c>
      <c r="W39">
        <v>67</v>
      </c>
      <c r="X39" t="s">
        <v>394</v>
      </c>
      <c r="Y39" t="s">
        <v>395</v>
      </c>
      <c r="Z39">
        <v>0.119402985074626</v>
      </c>
      <c r="AA39">
        <v>3.7894089764624099E-2</v>
      </c>
      <c r="AB39">
        <v>184</v>
      </c>
      <c r="AC39">
        <v>8</v>
      </c>
      <c r="AD39">
        <v>67</v>
      </c>
      <c r="AE39" t="s">
        <v>396</v>
      </c>
      <c r="AF39" t="s">
        <v>397</v>
      </c>
      <c r="AG39">
        <v>2.9850746268656699E-2</v>
      </c>
      <c r="AH39">
        <v>7.1297258274530595E-2</v>
      </c>
      <c r="AI39">
        <v>21</v>
      </c>
      <c r="AJ39">
        <v>2</v>
      </c>
      <c r="AK39">
        <v>67</v>
      </c>
      <c r="AL39">
        <v>0.334697886706185</v>
      </c>
      <c r="AM39">
        <v>67</v>
      </c>
      <c r="AN39" t="s">
        <v>398</v>
      </c>
    </row>
    <row r="40" spans="1:40" x14ac:dyDescent="0.2">
      <c r="A40">
        <v>38</v>
      </c>
      <c r="I40" t="s">
        <v>399</v>
      </c>
      <c r="J40" t="s">
        <v>400</v>
      </c>
      <c r="K40">
        <v>0.14285714285714199</v>
      </c>
      <c r="L40">
        <v>4.1754646250235401E-2</v>
      </c>
      <c r="M40">
        <v>75</v>
      </c>
      <c r="N40">
        <v>2</v>
      </c>
      <c r="O40">
        <v>14</v>
      </c>
      <c r="P40" t="s">
        <v>401</v>
      </c>
      <c r="Q40" t="s">
        <v>402</v>
      </c>
      <c r="R40" t="s">
        <v>403</v>
      </c>
      <c r="S40">
        <v>0.14285714285714199</v>
      </c>
      <c r="T40">
        <v>0.21772509146879299</v>
      </c>
      <c r="U40">
        <v>199</v>
      </c>
      <c r="V40">
        <v>2</v>
      </c>
      <c r="W40">
        <v>14</v>
      </c>
      <c r="X40" t="s">
        <v>404</v>
      </c>
      <c r="Y40" t="s">
        <v>405</v>
      </c>
      <c r="Z40">
        <v>0.14285714285714199</v>
      </c>
      <c r="AA40">
        <v>9.19195244979156E-2</v>
      </c>
      <c r="AB40">
        <v>117</v>
      </c>
      <c r="AC40">
        <v>2</v>
      </c>
      <c r="AD40">
        <v>14</v>
      </c>
      <c r="AL40">
        <v>0.26190181109525701</v>
      </c>
      <c r="AM40">
        <v>14</v>
      </c>
      <c r="AN40" t="s">
        <v>406</v>
      </c>
    </row>
    <row r="41" spans="1:40" x14ac:dyDescent="0.2">
      <c r="A41">
        <v>39</v>
      </c>
      <c r="B41" t="s">
        <v>60</v>
      </c>
      <c r="C41" t="s">
        <v>407</v>
      </c>
      <c r="D41">
        <v>4.2735042735042701E-2</v>
      </c>
      <c r="E41" s="1">
        <v>3.2106603481387099E-6</v>
      </c>
      <c r="F41">
        <v>8</v>
      </c>
      <c r="G41">
        <v>5</v>
      </c>
      <c r="H41">
        <v>117</v>
      </c>
      <c r="I41" t="s">
        <v>408</v>
      </c>
      <c r="J41" t="s">
        <v>409</v>
      </c>
      <c r="K41">
        <v>0.128205128205128</v>
      </c>
      <c r="L41" s="1">
        <v>3.43314448747305E-6</v>
      </c>
      <c r="M41">
        <v>103</v>
      </c>
      <c r="N41">
        <v>15</v>
      </c>
      <c r="O41">
        <v>117</v>
      </c>
      <c r="P41" t="s">
        <v>410</v>
      </c>
      <c r="Q41" t="s">
        <v>411</v>
      </c>
      <c r="R41" t="s">
        <v>412</v>
      </c>
      <c r="S41">
        <v>3.4188034188034101E-2</v>
      </c>
      <c r="T41">
        <v>3.4692717241419903E-2</v>
      </c>
      <c r="U41">
        <v>34</v>
      </c>
      <c r="V41">
        <v>4</v>
      </c>
      <c r="W41">
        <v>117</v>
      </c>
      <c r="X41" t="s">
        <v>413</v>
      </c>
      <c r="Y41" t="s">
        <v>407</v>
      </c>
      <c r="Z41">
        <v>4.2735042735042701E-2</v>
      </c>
      <c r="AA41" s="1">
        <v>1.3610954294942E-5</v>
      </c>
      <c r="AB41">
        <v>10</v>
      </c>
      <c r="AC41">
        <v>5</v>
      </c>
      <c r="AD41">
        <v>117</v>
      </c>
      <c r="AE41" t="s">
        <v>414</v>
      </c>
      <c r="AF41" t="s">
        <v>415</v>
      </c>
      <c r="AG41">
        <v>4.2735042735042701E-2</v>
      </c>
      <c r="AH41" s="1">
        <v>3.2106603481387099E-6</v>
      </c>
      <c r="AI41">
        <v>8</v>
      </c>
      <c r="AJ41">
        <v>5</v>
      </c>
      <c r="AK41">
        <v>117</v>
      </c>
      <c r="AL41">
        <v>0.51581477834755696</v>
      </c>
      <c r="AM41">
        <v>117</v>
      </c>
      <c r="AN41" t="s">
        <v>416</v>
      </c>
    </row>
    <row r="42" spans="1:40" x14ac:dyDescent="0.2">
      <c r="A42">
        <v>40</v>
      </c>
      <c r="I42" t="s">
        <v>417</v>
      </c>
      <c r="J42" t="s">
        <v>418</v>
      </c>
      <c r="K42">
        <v>0.16666666666666599</v>
      </c>
      <c r="L42">
        <v>2.1638744727159598E-3</v>
      </c>
      <c r="M42">
        <v>19</v>
      </c>
      <c r="N42">
        <v>2</v>
      </c>
      <c r="O42">
        <v>12</v>
      </c>
      <c r="P42" t="s">
        <v>419</v>
      </c>
      <c r="X42" t="s">
        <v>420</v>
      </c>
      <c r="Y42" t="s">
        <v>421</v>
      </c>
      <c r="Z42">
        <v>0.16666666666666599</v>
      </c>
      <c r="AA42">
        <v>1.5281220776107701E-3</v>
      </c>
      <c r="AB42">
        <v>16</v>
      </c>
      <c r="AC42">
        <v>2</v>
      </c>
      <c r="AD42">
        <v>12</v>
      </c>
      <c r="AL42">
        <v>0.44864377368855002</v>
      </c>
      <c r="AM42">
        <v>12</v>
      </c>
      <c r="AN42" t="s">
        <v>422</v>
      </c>
    </row>
    <row r="43" spans="1:40" x14ac:dyDescent="0.2">
      <c r="A43">
        <v>41</v>
      </c>
      <c r="B43" t="s">
        <v>423</v>
      </c>
      <c r="C43" t="s">
        <v>424</v>
      </c>
      <c r="D43">
        <v>7.5471698113207503E-2</v>
      </c>
      <c r="E43" s="1">
        <v>2.1011886242187898E-5</v>
      </c>
      <c r="F43">
        <v>11</v>
      </c>
      <c r="G43">
        <v>4</v>
      </c>
      <c r="H43">
        <v>53</v>
      </c>
      <c r="I43" t="s">
        <v>425</v>
      </c>
      <c r="J43" t="s">
        <v>426</v>
      </c>
      <c r="K43">
        <v>0.37735849056603699</v>
      </c>
      <c r="L43" s="1">
        <v>5.3717768207307201E-14</v>
      </c>
      <c r="M43">
        <v>151</v>
      </c>
      <c r="N43">
        <v>20</v>
      </c>
      <c r="O43">
        <v>53</v>
      </c>
      <c r="P43" t="s">
        <v>427</v>
      </c>
      <c r="Q43" t="s">
        <v>281</v>
      </c>
      <c r="R43" t="s">
        <v>428</v>
      </c>
      <c r="S43">
        <v>5.6603773584905599E-2</v>
      </c>
      <c r="T43">
        <v>6.5617141338331395E-2</v>
      </c>
      <c r="U43">
        <v>56</v>
      </c>
      <c r="V43">
        <v>3</v>
      </c>
      <c r="W43">
        <v>53</v>
      </c>
      <c r="X43" t="s">
        <v>429</v>
      </c>
      <c r="Y43" t="s">
        <v>430</v>
      </c>
      <c r="Z43">
        <v>0.339622641509433</v>
      </c>
      <c r="AA43" s="1">
        <v>1.46985303882716E-9</v>
      </c>
      <c r="AB43">
        <v>204</v>
      </c>
      <c r="AC43">
        <v>18</v>
      </c>
      <c r="AD43">
        <v>53</v>
      </c>
      <c r="AE43" t="s">
        <v>431</v>
      </c>
      <c r="AF43" t="s">
        <v>432</v>
      </c>
      <c r="AG43">
        <v>7.5471698113207503E-2</v>
      </c>
      <c r="AH43" s="1">
        <v>4.6264149567486203E-6</v>
      </c>
      <c r="AI43">
        <v>8</v>
      </c>
      <c r="AJ43">
        <v>4</v>
      </c>
      <c r="AK43">
        <v>53</v>
      </c>
      <c r="AL43">
        <v>0.457917097055422</v>
      </c>
      <c r="AM43">
        <v>53</v>
      </c>
      <c r="AN43" t="s">
        <v>433</v>
      </c>
    </row>
    <row r="44" spans="1:40" x14ac:dyDescent="0.2">
      <c r="A44">
        <v>42</v>
      </c>
      <c r="B44" t="s">
        <v>434</v>
      </c>
      <c r="C44" t="s">
        <v>435</v>
      </c>
      <c r="D44">
        <v>4.5871559633027498E-2</v>
      </c>
      <c r="E44" s="1">
        <v>4.3726850861058102E-8</v>
      </c>
      <c r="F44">
        <v>5</v>
      </c>
      <c r="G44">
        <v>5</v>
      </c>
      <c r="H44">
        <v>109</v>
      </c>
      <c r="I44" t="s">
        <v>436</v>
      </c>
      <c r="J44" t="s">
        <v>437</v>
      </c>
      <c r="K44">
        <v>0.44036697247706402</v>
      </c>
      <c r="L44" s="1">
        <v>1.76496056334418E-63</v>
      </c>
      <c r="M44">
        <v>61</v>
      </c>
      <c r="N44">
        <v>48</v>
      </c>
      <c r="O44">
        <v>109</v>
      </c>
      <c r="P44" t="s">
        <v>438</v>
      </c>
      <c r="Q44" t="s">
        <v>439</v>
      </c>
      <c r="R44" t="s">
        <v>440</v>
      </c>
      <c r="S44">
        <v>0.146788990825688</v>
      </c>
      <c r="T44" s="1">
        <v>3.4604723718109201E-6</v>
      </c>
      <c r="U44">
        <v>125</v>
      </c>
      <c r="V44">
        <v>16</v>
      </c>
      <c r="W44">
        <v>109</v>
      </c>
      <c r="X44" t="s">
        <v>441</v>
      </c>
      <c r="Y44" t="s">
        <v>442</v>
      </c>
      <c r="Z44">
        <v>0.25688073394495398</v>
      </c>
      <c r="AA44" s="1">
        <v>2.15847727774641E-16</v>
      </c>
      <c r="AB44">
        <v>127</v>
      </c>
      <c r="AC44">
        <v>28</v>
      </c>
      <c r="AD44">
        <v>109</v>
      </c>
      <c r="AE44" t="s">
        <v>443</v>
      </c>
      <c r="AF44" t="s">
        <v>444</v>
      </c>
      <c r="AG44">
        <v>4.5871559633027498E-2</v>
      </c>
      <c r="AH44" s="1">
        <v>4.3726850861058102E-8</v>
      </c>
      <c r="AI44">
        <v>5</v>
      </c>
      <c r="AJ44">
        <v>5</v>
      </c>
      <c r="AK44">
        <v>109</v>
      </c>
      <c r="AL44">
        <v>0.54179460027561399</v>
      </c>
      <c r="AM44">
        <v>109</v>
      </c>
      <c r="AN44" t="s">
        <v>445</v>
      </c>
    </row>
    <row r="45" spans="1:40" x14ac:dyDescent="0.2">
      <c r="A45">
        <v>43</v>
      </c>
      <c r="I45" t="s">
        <v>446</v>
      </c>
      <c r="J45" t="s">
        <v>447</v>
      </c>
      <c r="K45">
        <v>7.4074074074074001E-2</v>
      </c>
      <c r="L45">
        <v>6.8654785838100801E-4</v>
      </c>
      <c r="M45">
        <v>5</v>
      </c>
      <c r="N45">
        <v>2</v>
      </c>
      <c r="O45">
        <v>27</v>
      </c>
      <c r="P45" t="s">
        <v>448</v>
      </c>
      <c r="Q45" t="s">
        <v>449</v>
      </c>
      <c r="R45" t="s">
        <v>450</v>
      </c>
      <c r="S45">
        <v>7.4074074074074001E-2</v>
      </c>
      <c r="T45">
        <v>0.31370551308784</v>
      </c>
      <c r="U45">
        <v>133</v>
      </c>
      <c r="V45">
        <v>2</v>
      </c>
      <c r="W45">
        <v>27</v>
      </c>
      <c r="X45" t="s">
        <v>451</v>
      </c>
      <c r="Y45" t="s">
        <v>452</v>
      </c>
      <c r="Z45">
        <v>7.4074074074074001E-2</v>
      </c>
      <c r="AA45">
        <v>1.32567846059142E-2</v>
      </c>
      <c r="AB45">
        <v>21</v>
      </c>
      <c r="AC45">
        <v>2</v>
      </c>
      <c r="AD45">
        <v>27</v>
      </c>
      <c r="AL45">
        <v>0.20263088851076899</v>
      </c>
      <c r="AM45">
        <v>27</v>
      </c>
      <c r="AN45" t="s">
        <v>453</v>
      </c>
    </row>
    <row r="46" spans="1:40" x14ac:dyDescent="0.2">
      <c r="A46">
        <v>44</v>
      </c>
      <c r="I46" t="s">
        <v>145</v>
      </c>
      <c r="J46" t="s">
        <v>454</v>
      </c>
      <c r="K46">
        <v>9.5238095238095205E-2</v>
      </c>
      <c r="L46">
        <v>1.32567846059142E-2</v>
      </c>
      <c r="M46">
        <v>27</v>
      </c>
      <c r="N46">
        <v>2</v>
      </c>
      <c r="O46">
        <v>21</v>
      </c>
      <c r="P46" t="s">
        <v>147</v>
      </c>
      <c r="Q46" t="s">
        <v>455</v>
      </c>
      <c r="R46" t="s">
        <v>456</v>
      </c>
      <c r="S46">
        <v>9.5238095238095205E-2</v>
      </c>
      <c r="T46">
        <v>0.11370192276548099</v>
      </c>
      <c r="U46">
        <v>88</v>
      </c>
      <c r="V46">
        <v>2</v>
      </c>
      <c r="W46">
        <v>21</v>
      </c>
      <c r="X46" t="s">
        <v>457</v>
      </c>
      <c r="Y46" t="s">
        <v>458</v>
      </c>
      <c r="Z46">
        <v>9.5238095238095205E-2</v>
      </c>
      <c r="AA46">
        <v>3.9200813612095702E-2</v>
      </c>
      <c r="AB46">
        <v>48</v>
      </c>
      <c r="AC46">
        <v>2</v>
      </c>
      <c r="AD46">
        <v>21</v>
      </c>
      <c r="AL46">
        <v>0.27503485577855402</v>
      </c>
      <c r="AM46">
        <v>21</v>
      </c>
      <c r="AN46" t="s">
        <v>459</v>
      </c>
    </row>
    <row r="47" spans="1:40" x14ac:dyDescent="0.2">
      <c r="A47">
        <v>45</v>
      </c>
      <c r="B47" t="s">
        <v>460</v>
      </c>
      <c r="C47" t="s">
        <v>461</v>
      </c>
      <c r="D47">
        <v>9.6618357487922701E-3</v>
      </c>
      <c r="E47">
        <v>4.2367644083969799E-3</v>
      </c>
      <c r="F47">
        <v>2</v>
      </c>
      <c r="G47">
        <v>2</v>
      </c>
      <c r="H47">
        <v>207</v>
      </c>
      <c r="I47" t="s">
        <v>462</v>
      </c>
      <c r="J47" t="s">
        <v>463</v>
      </c>
      <c r="K47">
        <v>9.6618357487922701E-3</v>
      </c>
      <c r="L47">
        <v>3.7149524401780001E-2</v>
      </c>
      <c r="M47">
        <v>5</v>
      </c>
      <c r="N47">
        <v>2</v>
      </c>
      <c r="O47">
        <v>207</v>
      </c>
      <c r="P47" t="s">
        <v>464</v>
      </c>
      <c r="Q47" t="s">
        <v>465</v>
      </c>
      <c r="R47" t="s">
        <v>466</v>
      </c>
      <c r="S47">
        <v>1.9323671497584499E-2</v>
      </c>
      <c r="T47">
        <v>0.32237584960599303</v>
      </c>
      <c r="U47">
        <v>44</v>
      </c>
      <c r="V47">
        <v>4</v>
      </c>
      <c r="W47">
        <v>207</v>
      </c>
      <c r="X47" t="s">
        <v>467</v>
      </c>
      <c r="Y47" t="s">
        <v>468</v>
      </c>
      <c r="Z47">
        <v>1.9323671497584499E-2</v>
      </c>
      <c r="AA47">
        <v>4.0341763097641098E-3</v>
      </c>
      <c r="AB47">
        <v>11</v>
      </c>
      <c r="AC47">
        <v>4</v>
      </c>
      <c r="AD47">
        <v>207</v>
      </c>
      <c r="AE47" t="s">
        <v>469</v>
      </c>
      <c r="AF47" t="s">
        <v>470</v>
      </c>
      <c r="AG47">
        <v>1.9323671497584499E-2</v>
      </c>
      <c r="AH47">
        <v>1.00036255006284E-3</v>
      </c>
      <c r="AI47">
        <v>8</v>
      </c>
      <c r="AJ47">
        <v>4</v>
      </c>
      <c r="AK47">
        <v>207</v>
      </c>
      <c r="AL47">
        <v>0.30622886361676499</v>
      </c>
      <c r="AM47">
        <v>207</v>
      </c>
      <c r="AN47" t="s">
        <v>471</v>
      </c>
    </row>
    <row r="48" spans="1:40" x14ac:dyDescent="0.2">
      <c r="A48">
        <v>46</v>
      </c>
      <c r="B48" t="s">
        <v>472</v>
      </c>
      <c r="C48" t="s">
        <v>473</v>
      </c>
      <c r="D48">
        <v>1.4492753623188401E-2</v>
      </c>
      <c r="E48">
        <v>2.4813785231681401E-3</v>
      </c>
      <c r="F48">
        <v>5</v>
      </c>
      <c r="G48">
        <v>3</v>
      </c>
      <c r="H48">
        <v>207</v>
      </c>
      <c r="I48" t="s">
        <v>474</v>
      </c>
      <c r="J48" t="s">
        <v>475</v>
      </c>
      <c r="K48">
        <v>1.9323671497584499E-2</v>
      </c>
      <c r="L48">
        <v>4.0341763097641098E-3</v>
      </c>
      <c r="M48">
        <v>11</v>
      </c>
      <c r="N48">
        <v>4</v>
      </c>
      <c r="O48">
        <v>207</v>
      </c>
      <c r="P48" t="s">
        <v>476</v>
      </c>
      <c r="Q48" t="s">
        <v>477</v>
      </c>
      <c r="R48" t="s">
        <v>478</v>
      </c>
      <c r="S48">
        <v>9.6618357487922701E-3</v>
      </c>
      <c r="T48">
        <v>0.720505353340684</v>
      </c>
      <c r="U48">
        <v>38</v>
      </c>
      <c r="V48">
        <v>2</v>
      </c>
      <c r="W48">
        <v>207</v>
      </c>
      <c r="X48" t="s">
        <v>479</v>
      </c>
      <c r="Y48" t="s">
        <v>480</v>
      </c>
      <c r="Z48">
        <v>1.4492753623188401E-2</v>
      </c>
      <c r="AA48">
        <v>8.1681949827218797E-2</v>
      </c>
      <c r="AB48">
        <v>16</v>
      </c>
      <c r="AC48">
        <v>3</v>
      </c>
      <c r="AD48">
        <v>207</v>
      </c>
      <c r="AE48" t="s">
        <v>481</v>
      </c>
      <c r="AF48" t="s">
        <v>482</v>
      </c>
      <c r="AG48">
        <v>2.41545893719806E-2</v>
      </c>
      <c r="AH48">
        <v>3.7636010225535399E-4</v>
      </c>
      <c r="AI48">
        <v>11</v>
      </c>
      <c r="AJ48">
        <v>5</v>
      </c>
      <c r="AK48">
        <v>207</v>
      </c>
      <c r="AL48">
        <v>0.21708742066475401</v>
      </c>
      <c r="AM48">
        <v>207</v>
      </c>
      <c r="AN48" t="s">
        <v>483</v>
      </c>
    </row>
    <row r="49" spans="1:40" x14ac:dyDescent="0.2">
      <c r="A49">
        <v>47</v>
      </c>
      <c r="I49" t="s">
        <v>297</v>
      </c>
      <c r="J49" t="s">
        <v>484</v>
      </c>
      <c r="K49">
        <v>6.8965517241379296E-2</v>
      </c>
      <c r="L49">
        <v>0.418064688585566</v>
      </c>
      <c r="M49">
        <v>155</v>
      </c>
      <c r="N49">
        <v>2</v>
      </c>
      <c r="O49">
        <v>29</v>
      </c>
      <c r="P49" t="s">
        <v>299</v>
      </c>
      <c r="X49" t="s">
        <v>485</v>
      </c>
      <c r="Y49" t="s">
        <v>486</v>
      </c>
      <c r="Z49">
        <v>6.8965517241379296E-2</v>
      </c>
      <c r="AA49">
        <v>1.2528061587297599E-2</v>
      </c>
      <c r="AB49">
        <v>19</v>
      </c>
      <c r="AC49">
        <v>2</v>
      </c>
      <c r="AD49">
        <v>29</v>
      </c>
      <c r="AE49" t="s">
        <v>487</v>
      </c>
      <c r="AF49" t="s">
        <v>488</v>
      </c>
      <c r="AG49">
        <v>6.8965517241379296E-2</v>
      </c>
      <c r="AH49">
        <v>7.9312113197396305E-4</v>
      </c>
      <c r="AI49">
        <v>5</v>
      </c>
      <c r="AJ49">
        <v>2</v>
      </c>
      <c r="AK49">
        <v>29</v>
      </c>
      <c r="AL49">
        <v>0.220109381225044</v>
      </c>
      <c r="AM49">
        <v>29</v>
      </c>
      <c r="AN49" t="s">
        <v>489</v>
      </c>
    </row>
    <row r="50" spans="1:40" x14ac:dyDescent="0.2">
      <c r="A50">
        <v>48</v>
      </c>
      <c r="I50" t="s">
        <v>490</v>
      </c>
      <c r="J50" t="s">
        <v>491</v>
      </c>
      <c r="K50">
        <v>0.10256410256410201</v>
      </c>
      <c r="L50">
        <v>4.2381445293577296E-3</v>
      </c>
      <c r="M50">
        <v>55</v>
      </c>
      <c r="N50">
        <v>4</v>
      </c>
      <c r="O50">
        <v>39</v>
      </c>
      <c r="P50" t="s">
        <v>492</v>
      </c>
      <c r="Q50" t="s">
        <v>493</v>
      </c>
      <c r="R50" t="s">
        <v>494</v>
      </c>
      <c r="S50">
        <v>5.1282051282051197E-2</v>
      </c>
      <c r="T50">
        <v>0.48770041506978101</v>
      </c>
      <c r="U50">
        <v>132</v>
      </c>
      <c r="V50">
        <v>2</v>
      </c>
      <c r="W50">
        <v>39</v>
      </c>
      <c r="X50" t="s">
        <v>178</v>
      </c>
      <c r="Y50" t="s">
        <v>495</v>
      </c>
      <c r="Z50">
        <v>7.69230769230769E-2</v>
      </c>
      <c r="AA50">
        <v>6.9413174896383198E-2</v>
      </c>
      <c r="AB50">
        <v>78</v>
      </c>
      <c r="AC50">
        <v>3</v>
      </c>
      <c r="AD50">
        <v>39</v>
      </c>
      <c r="AE50" t="s">
        <v>496</v>
      </c>
      <c r="AF50" t="s">
        <v>497</v>
      </c>
      <c r="AG50">
        <v>5.1282051282051197E-2</v>
      </c>
      <c r="AH50">
        <v>6.2258237033501196E-3</v>
      </c>
      <c r="AI50">
        <v>10</v>
      </c>
      <c r="AJ50">
        <v>2</v>
      </c>
      <c r="AK50">
        <v>39</v>
      </c>
      <c r="AL50">
        <v>0.317683797233347</v>
      </c>
      <c r="AM50">
        <v>39</v>
      </c>
      <c r="AN50" t="s">
        <v>498</v>
      </c>
    </row>
    <row r="51" spans="1:40" x14ac:dyDescent="0.2">
      <c r="A51">
        <v>49</v>
      </c>
      <c r="I51" t="s">
        <v>499</v>
      </c>
      <c r="J51" t="s">
        <v>500</v>
      </c>
      <c r="K51">
        <v>4.1666666666666602E-2</v>
      </c>
      <c r="L51">
        <v>2.7217869857771998E-3</v>
      </c>
      <c r="M51">
        <v>13</v>
      </c>
      <c r="N51">
        <v>3</v>
      </c>
      <c r="O51">
        <v>72</v>
      </c>
      <c r="P51" t="s">
        <v>501</v>
      </c>
      <c r="Q51" t="s">
        <v>281</v>
      </c>
      <c r="R51" t="s">
        <v>502</v>
      </c>
      <c r="S51">
        <v>2.77777777777777E-2</v>
      </c>
      <c r="T51">
        <v>0.36466467462955998</v>
      </c>
      <c r="U51">
        <v>56</v>
      </c>
      <c r="V51">
        <v>2</v>
      </c>
      <c r="W51">
        <v>72</v>
      </c>
      <c r="X51" t="s">
        <v>503</v>
      </c>
      <c r="Y51" t="s">
        <v>504</v>
      </c>
      <c r="Z51">
        <v>2.77777777777777E-2</v>
      </c>
      <c r="AA51">
        <v>7.1810351973688197E-3</v>
      </c>
      <c r="AB51">
        <v>6</v>
      </c>
      <c r="AC51">
        <v>2</v>
      </c>
      <c r="AD51">
        <v>72</v>
      </c>
      <c r="AE51" t="s">
        <v>505</v>
      </c>
      <c r="AF51" t="s">
        <v>506</v>
      </c>
      <c r="AG51">
        <v>2.77777777777777E-2</v>
      </c>
      <c r="AH51">
        <v>5.0791097171158401E-4</v>
      </c>
      <c r="AI51">
        <v>2</v>
      </c>
      <c r="AJ51">
        <v>2</v>
      </c>
      <c r="AK51">
        <v>72</v>
      </c>
      <c r="AL51">
        <v>0.40121807166300999</v>
      </c>
      <c r="AM51">
        <v>72</v>
      </c>
      <c r="AN51" t="s">
        <v>507</v>
      </c>
    </row>
    <row r="52" spans="1:40" x14ac:dyDescent="0.2">
      <c r="A52">
        <v>50</v>
      </c>
      <c r="I52" t="s">
        <v>508</v>
      </c>
      <c r="J52" t="s">
        <v>509</v>
      </c>
      <c r="K52">
        <v>0.15384615384615299</v>
      </c>
      <c r="L52">
        <v>1.7645363403605001E-2</v>
      </c>
      <c r="M52">
        <v>51</v>
      </c>
      <c r="N52">
        <v>2</v>
      </c>
      <c r="O52">
        <v>13</v>
      </c>
      <c r="P52" t="s">
        <v>510</v>
      </c>
      <c r="X52" t="s">
        <v>394</v>
      </c>
      <c r="Y52" t="s">
        <v>511</v>
      </c>
      <c r="Z52">
        <v>0.15384615384615299</v>
      </c>
      <c r="AA52">
        <v>0.171711678394386</v>
      </c>
      <c r="AB52">
        <v>184</v>
      </c>
      <c r="AC52">
        <v>2</v>
      </c>
      <c r="AD52">
        <v>13</v>
      </c>
      <c r="AL52">
        <v>0.42302133090565303</v>
      </c>
      <c r="AM52">
        <v>13</v>
      </c>
      <c r="AN52" t="s">
        <v>512</v>
      </c>
    </row>
    <row r="53" spans="1:40" x14ac:dyDescent="0.2">
      <c r="A53">
        <v>51</v>
      </c>
      <c r="B53" t="s">
        <v>513</v>
      </c>
      <c r="C53" t="s">
        <v>514</v>
      </c>
      <c r="D53">
        <v>2.77777777777777E-2</v>
      </c>
      <c r="E53">
        <v>1.50130858967287E-3</v>
      </c>
      <c r="F53">
        <v>3</v>
      </c>
      <c r="G53">
        <v>2</v>
      </c>
      <c r="H53">
        <v>72</v>
      </c>
      <c r="I53" t="s">
        <v>515</v>
      </c>
      <c r="J53" t="s">
        <v>516</v>
      </c>
      <c r="K53">
        <v>2.77777777777777E-2</v>
      </c>
      <c r="L53">
        <v>4.8585062687483997E-3</v>
      </c>
      <c r="M53">
        <v>5</v>
      </c>
      <c r="N53">
        <v>2</v>
      </c>
      <c r="O53">
        <v>72</v>
      </c>
      <c r="P53" t="s">
        <v>517</v>
      </c>
      <c r="Q53" t="s">
        <v>518</v>
      </c>
      <c r="R53" t="s">
        <v>519</v>
      </c>
      <c r="S53">
        <v>2.77777777777777E-2</v>
      </c>
      <c r="T53">
        <v>0.14728045571423301</v>
      </c>
      <c r="U53">
        <v>30</v>
      </c>
      <c r="V53">
        <v>2</v>
      </c>
      <c r="W53">
        <v>72</v>
      </c>
      <c r="X53" t="s">
        <v>520</v>
      </c>
      <c r="Y53" t="s">
        <v>521</v>
      </c>
      <c r="Z53">
        <v>2.77777777777777E-2</v>
      </c>
      <c r="AA53">
        <v>3.8750006921604997E-2</v>
      </c>
      <c r="AB53">
        <v>14</v>
      </c>
      <c r="AC53">
        <v>2</v>
      </c>
      <c r="AD53">
        <v>72</v>
      </c>
      <c r="AE53" t="s">
        <v>522</v>
      </c>
      <c r="AF53" t="s">
        <v>523</v>
      </c>
      <c r="AG53">
        <v>2.77777777777777E-2</v>
      </c>
      <c r="AH53">
        <v>2.44672731898559E-2</v>
      </c>
      <c r="AI53">
        <v>11</v>
      </c>
      <c r="AJ53">
        <v>2</v>
      </c>
      <c r="AK53">
        <v>72</v>
      </c>
      <c r="AL53">
        <v>0.21580726344123599</v>
      </c>
      <c r="AM53">
        <v>72</v>
      </c>
      <c r="AN53" t="s">
        <v>524</v>
      </c>
    </row>
    <row r="54" spans="1:40" x14ac:dyDescent="0.2">
      <c r="A54">
        <v>52</v>
      </c>
      <c r="I54" t="s">
        <v>525</v>
      </c>
      <c r="J54" t="s">
        <v>526</v>
      </c>
      <c r="K54">
        <v>0.18181818181818099</v>
      </c>
      <c r="L54">
        <v>0.48253064523129702</v>
      </c>
      <c r="M54">
        <v>455</v>
      </c>
      <c r="N54">
        <v>2</v>
      </c>
      <c r="O54">
        <v>11</v>
      </c>
      <c r="P54" t="s">
        <v>527</v>
      </c>
      <c r="X54" t="s">
        <v>528</v>
      </c>
      <c r="Y54" t="s">
        <v>529</v>
      </c>
      <c r="Z54">
        <v>0.18181818181818099</v>
      </c>
      <c r="AA54">
        <v>0.79796829621646603</v>
      </c>
      <c r="AB54">
        <v>785</v>
      </c>
      <c r="AC54">
        <v>2</v>
      </c>
      <c r="AD54">
        <v>11</v>
      </c>
      <c r="AL54">
        <v>0.262588601258258</v>
      </c>
      <c r="AM54">
        <v>11</v>
      </c>
      <c r="AN54" t="s">
        <v>530</v>
      </c>
    </row>
  </sheetData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:AA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:A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clustering_nde30ntotal75_downst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2025-10-14T06:33:10Z</dcterms:created>
  <dcterms:modified xsi:type="dcterms:W3CDTF">2025-10-14T08:22:59Z</dcterms:modified>
</cp:coreProperties>
</file>